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PrivateDancer\theory\"/>
    </mc:Choice>
  </mc:AlternateContent>
  <bookViews>
    <workbookView xWindow="0" yWindow="0" windowWidth="20120" windowHeight="7130"/>
  </bookViews>
  <sheets>
    <sheet name="3D View" sheetId="5" r:id="rId1"/>
    <sheet name="DATA" sheetId="3" r:id="rId2"/>
  </sheets>
  <definedNames>
    <definedName name="_RMX1">'3D View'!$BI$6</definedName>
    <definedName name="_RMX2">'3D View'!$BI$7</definedName>
    <definedName name="_RMX3">'3D View'!$BI$8</definedName>
    <definedName name="_RMY1">'3D View'!$BJ$6</definedName>
    <definedName name="_RMY2">'3D View'!$BJ$7</definedName>
    <definedName name="_RMY3">'3D View'!$BJ$8</definedName>
    <definedName name="_RMZ1">'3D View'!$BK$6</definedName>
    <definedName name="_RMZ2">'3D View'!$BK$7</definedName>
    <definedName name="_RMZ3">'3D View'!$BK$8</definedName>
    <definedName name="_xlnm.Print_Area" localSheetId="1">DATA!$A$1:$W$55</definedName>
    <definedName name="firstLabel">#REF!</definedName>
    <definedName name="firstZ">#REF!</definedName>
    <definedName name="Inputparams">DATA!$R$32:$W$32</definedName>
    <definedName name="NrPoints">#REF!</definedName>
    <definedName name="XCOS">'3D View'!$BI$3</definedName>
    <definedName name="XROTATE">'3D View'!$H$5</definedName>
    <definedName name="XSIN">'3D View'!$BI$2</definedName>
    <definedName name="YCOS">'3D View'!$BJ$3</definedName>
    <definedName name="YROTATE">'3D View'!$H$6</definedName>
    <definedName name="YSIN">'3D View'!$BJ$2</definedName>
    <definedName name="ZCOS">'3D View'!$BK$3</definedName>
    <definedName name="ZROTATE">'3D View'!$H$7</definedName>
    <definedName name="ZSIN">'3D View'!$BK$2</definedName>
  </definedNames>
  <calcPr calcId="162913"/>
</workbook>
</file>

<file path=xl/calcChain.xml><?xml version="1.0" encoding="utf-8"?>
<calcChain xmlns="http://schemas.openxmlformats.org/spreadsheetml/2006/main">
  <c r="BB13" i="5" l="1"/>
  <c r="BB82" i="5" s="1"/>
  <c r="BB12" i="5"/>
  <c r="BB81" i="5" s="1"/>
  <c r="BB11" i="5"/>
  <c r="BB10" i="5"/>
  <c r="BB79" i="5" s="1"/>
  <c r="BB9" i="5"/>
  <c r="BB78" i="5" s="1"/>
  <c r="BB8" i="5"/>
  <c r="BB77" i="5" s="1"/>
  <c r="BB83" i="5" s="1"/>
  <c r="T10" i="3"/>
  <c r="L13" i="5"/>
  <c r="K13" i="5"/>
  <c r="J13" i="5"/>
  <c r="BI2" i="5"/>
  <c r="BJ2" i="5"/>
  <c r="BK2" i="5"/>
  <c r="BI3" i="5"/>
  <c r="BJ3" i="5"/>
  <c r="BK3" i="5"/>
  <c r="AZ101" i="5"/>
  <c r="BA101" i="5"/>
  <c r="BB101" i="5"/>
  <c r="BB96" i="5"/>
  <c r="AZ90" i="5"/>
  <c r="BA93" i="5"/>
  <c r="BA109" i="5"/>
  <c r="BA108" i="5"/>
  <c r="BA104" i="5"/>
  <c r="BA103" i="5"/>
  <c r="BB110" i="5"/>
  <c r="BB109" i="5"/>
  <c r="BB108" i="5"/>
  <c r="BB107" i="5"/>
  <c r="BB106" i="5"/>
  <c r="BB112" i="5"/>
  <c r="BA113" i="5"/>
  <c r="BA112" i="5"/>
  <c r="BA115" i="5"/>
  <c r="BB116" i="5"/>
  <c r="BA116" i="5"/>
  <c r="BB118" i="5"/>
  <c r="AZ119" i="5"/>
  <c r="AZ118" i="5"/>
  <c r="AZ116" i="5"/>
  <c r="AZ115" i="5"/>
  <c r="AZ108" i="5"/>
  <c r="AZ107" i="5"/>
  <c r="AZ103" i="5"/>
  <c r="AZ102" i="5"/>
  <c r="AZ113" i="5"/>
  <c r="AZ112" i="5"/>
  <c r="AZ110" i="5"/>
  <c r="AZ109" i="5"/>
  <c r="AZ106" i="5"/>
  <c r="AZ105" i="5"/>
  <c r="AZ104" i="5"/>
  <c r="BB113" i="5"/>
  <c r="BB115" i="5"/>
  <c r="BB119" i="5"/>
  <c r="BA119" i="5"/>
  <c r="BA118" i="5"/>
  <c r="BA110" i="5"/>
  <c r="BA107" i="5"/>
  <c r="BA106" i="5"/>
  <c r="BA105" i="5"/>
  <c r="BB105" i="5"/>
  <c r="BB104" i="5"/>
  <c r="BB103" i="5"/>
  <c r="BB102" i="5"/>
  <c r="BA102" i="5"/>
  <c r="BB95" i="5"/>
  <c r="BA92" i="5"/>
  <c r="AZ89" i="5"/>
  <c r="BB46" i="5" l="1"/>
  <c r="BB80" i="5"/>
  <c r="BB23" i="5"/>
  <c r="BB25" i="5"/>
  <c r="BB48" i="5"/>
  <c r="BB21" i="5"/>
  <c r="BB44" i="5"/>
  <c r="BB17" i="5"/>
  <c r="BB40" i="5"/>
  <c r="BB19" i="5"/>
  <c r="BB42" i="5"/>
  <c r="BB27" i="5"/>
  <c r="BB50" i="5"/>
  <c r="BK7" i="5"/>
  <c r="BJ6" i="5"/>
  <c r="BI8" i="5"/>
  <c r="BI7" i="5"/>
  <c r="BK8" i="5"/>
  <c r="BJ8" i="5"/>
  <c r="BK6" i="5"/>
  <c r="BJ7" i="5"/>
  <c r="BI6" i="5"/>
  <c r="W10" i="3"/>
  <c r="V10" i="3"/>
  <c r="U10" i="3"/>
  <c r="I13" i="5"/>
  <c r="S10" i="3"/>
  <c r="H13" i="5" s="1"/>
  <c r="R10" i="3"/>
  <c r="G13" i="5" s="1"/>
  <c r="C35" i="3"/>
  <c r="C34" i="3"/>
  <c r="C33" i="3"/>
  <c r="C41" i="3"/>
  <c r="C40" i="3"/>
  <c r="C39" i="3"/>
  <c r="C38" i="3"/>
  <c r="C37" i="3"/>
  <c r="C36" i="3"/>
  <c r="C32" i="3"/>
  <c r="C31" i="3"/>
  <c r="C30" i="3"/>
  <c r="D41" i="3"/>
  <c r="E41" i="3" s="1"/>
  <c r="H41" i="3" s="1"/>
  <c r="D40" i="3"/>
  <c r="E40" i="3" s="1"/>
  <c r="H40" i="3" s="1"/>
  <c r="D39" i="3"/>
  <c r="E39" i="3" s="1"/>
  <c r="H39" i="3" s="1"/>
  <c r="D38" i="3"/>
  <c r="E38" i="3" s="1"/>
  <c r="H38" i="3" s="1"/>
  <c r="D37" i="3"/>
  <c r="E37" i="3" s="1"/>
  <c r="H37" i="3" s="1"/>
  <c r="D36" i="3"/>
  <c r="E36" i="3" s="1"/>
  <c r="H36" i="3" s="1"/>
  <c r="D35" i="3"/>
  <c r="E35" i="3" s="1"/>
  <c r="H35" i="3" s="1"/>
  <c r="D34" i="3"/>
  <c r="E34" i="3" s="1"/>
  <c r="H34" i="3" s="1"/>
  <c r="D33" i="3"/>
  <c r="E33" i="3" s="1"/>
  <c r="H33" i="3" s="1"/>
  <c r="D32" i="3"/>
  <c r="E32" i="3" s="1"/>
  <c r="H32" i="3" s="1"/>
  <c r="D31" i="3"/>
  <c r="E31" i="3" s="1"/>
  <c r="H31" i="3" s="1"/>
  <c r="D30" i="3"/>
  <c r="D19" i="3"/>
  <c r="E19" i="3" s="1"/>
  <c r="H19" i="3" s="1"/>
  <c r="D18" i="3"/>
  <c r="E18" i="3" s="1"/>
  <c r="D17" i="3"/>
  <c r="E17" i="3" s="1"/>
  <c r="H17" i="3" s="1"/>
  <c r="D16" i="3"/>
  <c r="E16" i="3" s="1"/>
  <c r="H16" i="3" s="1"/>
  <c r="D15" i="3"/>
  <c r="E15" i="3" s="1"/>
  <c r="H15" i="3" s="1"/>
  <c r="D14" i="3"/>
  <c r="E14" i="3" s="1"/>
  <c r="H14" i="3" s="1"/>
  <c r="C19" i="3"/>
  <c r="C18" i="3"/>
  <c r="C17" i="3"/>
  <c r="C16" i="3"/>
  <c r="C15" i="3"/>
  <c r="C14" i="3"/>
  <c r="C13" i="3"/>
  <c r="C12" i="3"/>
  <c r="C11" i="3"/>
  <c r="C10" i="3"/>
  <c r="C9" i="3"/>
  <c r="C8" i="3"/>
  <c r="D11" i="3"/>
  <c r="E11" i="3" s="1"/>
  <c r="H11" i="3" s="1"/>
  <c r="D10" i="3"/>
  <c r="E10" i="3" s="1"/>
  <c r="D13" i="3"/>
  <c r="E13" i="3" s="1"/>
  <c r="H13" i="3" s="1"/>
  <c r="D12" i="3"/>
  <c r="E12" i="3" s="1"/>
  <c r="H12" i="3" s="1"/>
  <c r="D9" i="3"/>
  <c r="E9" i="3" s="1"/>
  <c r="H9" i="3" s="1"/>
  <c r="D8" i="3"/>
  <c r="E8" i="3" s="1"/>
  <c r="H8" i="3" s="1"/>
  <c r="E30" i="3" l="1"/>
  <c r="G30" i="3" s="1"/>
  <c r="BE92" i="5"/>
  <c r="BE93" i="5"/>
  <c r="BE94" i="5"/>
  <c r="BE90" i="5"/>
  <c r="BE89" i="5"/>
  <c r="BE91" i="5"/>
  <c r="BF89" i="5"/>
  <c r="G10" i="3"/>
  <c r="G19" i="3"/>
  <c r="BF101" i="5"/>
  <c r="BE101" i="5"/>
  <c r="BF109" i="5"/>
  <c r="BF113" i="5"/>
  <c r="BF112" i="5"/>
  <c r="BF104" i="5"/>
  <c r="BF92" i="5"/>
  <c r="BE119" i="5"/>
  <c r="BE116" i="5"/>
  <c r="BE113" i="5"/>
  <c r="BE110" i="5"/>
  <c r="BE108" i="5"/>
  <c r="BE106" i="5"/>
  <c r="BE104" i="5"/>
  <c r="BE102" i="5"/>
  <c r="BE96" i="5"/>
  <c r="BE118" i="5"/>
  <c r="BE115" i="5"/>
  <c r="BE112" i="5"/>
  <c r="BE109" i="5"/>
  <c r="BE107" i="5"/>
  <c r="BE105" i="5"/>
  <c r="BE103" i="5"/>
  <c r="BE95" i="5"/>
  <c r="BF90" i="5"/>
  <c r="BF102" i="5"/>
  <c r="BF110" i="5"/>
  <c r="BF95" i="5"/>
  <c r="BF107" i="5"/>
  <c r="BF118" i="5"/>
  <c r="BF96" i="5"/>
  <c r="BF108" i="5"/>
  <c r="BF119" i="5"/>
  <c r="BF93" i="5"/>
  <c r="BF105" i="5"/>
  <c r="BF115" i="5"/>
  <c r="BF94" i="5"/>
  <c r="BF106" i="5"/>
  <c r="BF116" i="5"/>
  <c r="BF91" i="5"/>
  <c r="BF103" i="5"/>
  <c r="G32" i="3"/>
  <c r="G36" i="3"/>
  <c r="L3" i="3" s="1"/>
  <c r="BA8" i="5" s="1"/>
  <c r="BA77" i="5" s="1"/>
  <c r="BA83" i="5" s="1"/>
  <c r="G37" i="3"/>
  <c r="L4" i="3" s="1"/>
  <c r="BA9" i="5" s="1"/>
  <c r="BA78" i="5" s="1"/>
  <c r="G35" i="3"/>
  <c r="G39" i="3"/>
  <c r="L6" i="3" s="1"/>
  <c r="BA11" i="5" s="1"/>
  <c r="BA80" i="5" s="1"/>
  <c r="G41" i="3"/>
  <c r="L8" i="3" s="1"/>
  <c r="BA13" i="5" s="1"/>
  <c r="BA82" i="5" s="1"/>
  <c r="G31" i="3"/>
  <c r="G33" i="3"/>
  <c r="G40" i="3"/>
  <c r="L7" i="3" s="1"/>
  <c r="BA12" i="5" s="1"/>
  <c r="BA81" i="5" s="1"/>
  <c r="G38" i="3"/>
  <c r="L5" i="3" s="1"/>
  <c r="BA10" i="5" s="1"/>
  <c r="BA79" i="5" s="1"/>
  <c r="G34" i="3"/>
  <c r="G18" i="3"/>
  <c r="H10" i="3"/>
  <c r="G15" i="3"/>
  <c r="G14" i="3"/>
  <c r="H18" i="3"/>
  <c r="G13" i="3"/>
  <c r="G8" i="3"/>
  <c r="G11" i="3"/>
  <c r="G17" i="3"/>
  <c r="G9" i="3"/>
  <c r="G16" i="3"/>
  <c r="G12" i="3"/>
  <c r="K7" i="3" l="1"/>
  <c r="AZ12" i="5" s="1"/>
  <c r="AZ81" i="5" s="1"/>
  <c r="BF81" i="5" s="1"/>
  <c r="K6" i="3"/>
  <c r="AZ11" i="5" s="1"/>
  <c r="AZ80" i="5" s="1"/>
  <c r="BF80" i="5" s="1"/>
  <c r="K8" i="3"/>
  <c r="AZ13" i="5" s="1"/>
  <c r="AZ82" i="5" s="1"/>
  <c r="BF82" i="5" s="1"/>
  <c r="K5" i="3"/>
  <c r="AZ10" i="5" s="1"/>
  <c r="AZ79" i="5" s="1"/>
  <c r="BF79" i="5" s="1"/>
  <c r="L13" i="3"/>
  <c r="BA3" i="5" s="1"/>
  <c r="L14" i="3"/>
  <c r="BA4" i="5" s="1"/>
  <c r="H30" i="3"/>
  <c r="K17" i="3"/>
  <c r="K13" i="3"/>
  <c r="M17" i="3"/>
  <c r="BB7" i="5" s="1"/>
  <c r="M16" i="3"/>
  <c r="BB6" i="5" s="1"/>
  <c r="L15" i="3"/>
  <c r="BA5" i="5" s="1"/>
  <c r="L12" i="3"/>
  <c r="M15" i="3"/>
  <c r="BB5" i="5" s="1"/>
  <c r="K16" i="3"/>
  <c r="K14" i="3"/>
  <c r="K15" i="3"/>
  <c r="BA17" i="5"/>
  <c r="BA40" i="5"/>
  <c r="BA21" i="5"/>
  <c r="BA44" i="5"/>
  <c r="BA27" i="5"/>
  <c r="BA50" i="5"/>
  <c r="BA19" i="5"/>
  <c r="BA42" i="5"/>
  <c r="BA25" i="5"/>
  <c r="BA48" i="5"/>
  <c r="BA23" i="5"/>
  <c r="BA46" i="5"/>
  <c r="K3" i="3"/>
  <c r="AZ8" i="5" s="1"/>
  <c r="AZ77" i="5" s="1"/>
  <c r="K4" i="3"/>
  <c r="AZ9" i="5" s="1"/>
  <c r="AZ78" i="5" s="1"/>
  <c r="K12" i="3"/>
  <c r="M13" i="3"/>
  <c r="L17" i="3"/>
  <c r="BA7" i="5" s="1"/>
  <c r="M12" i="3"/>
  <c r="M22" i="3" s="1"/>
  <c r="L16" i="3"/>
  <c r="BA6" i="5" s="1"/>
  <c r="M14" i="3"/>
  <c r="M51" i="3" l="1"/>
  <c r="M52" i="3"/>
  <c r="M50" i="3"/>
  <c r="M53" i="3"/>
  <c r="M54" i="3"/>
  <c r="M55" i="3"/>
  <c r="BE80" i="5"/>
  <c r="AZ46" i="5"/>
  <c r="BF46" i="5" s="1"/>
  <c r="AZ23" i="5"/>
  <c r="BF23" i="5" s="1"/>
  <c r="AZ21" i="5"/>
  <c r="BE21" i="5" s="1"/>
  <c r="AZ44" i="5"/>
  <c r="BF44" i="5" s="1"/>
  <c r="BE79" i="5"/>
  <c r="AZ27" i="5"/>
  <c r="BF27" i="5" s="1"/>
  <c r="AZ25" i="5"/>
  <c r="BE25" i="5" s="1"/>
  <c r="BE81" i="5"/>
  <c r="AZ50" i="5"/>
  <c r="BF50" i="5" s="1"/>
  <c r="AZ48" i="5"/>
  <c r="BF48" i="5" s="1"/>
  <c r="BE82" i="5"/>
  <c r="AZ3" i="5"/>
  <c r="AZ70" i="5" s="1"/>
  <c r="K26" i="3"/>
  <c r="K24" i="3"/>
  <c r="K27" i="3"/>
  <c r="K25" i="3"/>
  <c r="AZ2" i="5"/>
  <c r="K18" i="3"/>
  <c r="BA2" i="5"/>
  <c r="BA69" i="5" s="1"/>
  <c r="BA75" i="5" s="1"/>
  <c r="L18" i="3"/>
  <c r="AZ83" i="5"/>
  <c r="BE77" i="5"/>
  <c r="BF77" i="5"/>
  <c r="BE78" i="5"/>
  <c r="BF78" i="5"/>
  <c r="BA26" i="5"/>
  <c r="BA64" i="5" s="1"/>
  <c r="BA74" i="5"/>
  <c r="BA20" i="5"/>
  <c r="BA58" i="5" s="1"/>
  <c r="BA71" i="5"/>
  <c r="BA24" i="5"/>
  <c r="BA62" i="5" s="1"/>
  <c r="BA73" i="5"/>
  <c r="BA18" i="5"/>
  <c r="BA56" i="5" s="1"/>
  <c r="BA70" i="5"/>
  <c r="BA22" i="5"/>
  <c r="BA60" i="5" s="1"/>
  <c r="BA72" i="5"/>
  <c r="BB22" i="5"/>
  <c r="BB60" i="5" s="1"/>
  <c r="BB72" i="5"/>
  <c r="BB24" i="5"/>
  <c r="BB62" i="5" s="1"/>
  <c r="BB73" i="5"/>
  <c r="BB26" i="5"/>
  <c r="BB64" i="5" s="1"/>
  <c r="BB74" i="5"/>
  <c r="AZ4" i="5"/>
  <c r="K23" i="3"/>
  <c r="K22" i="3"/>
  <c r="BB4" i="5"/>
  <c r="M24" i="3"/>
  <c r="BB3" i="5"/>
  <c r="M23" i="3"/>
  <c r="AZ17" i="5"/>
  <c r="BF17" i="5" s="1"/>
  <c r="AZ40" i="5"/>
  <c r="AZ19" i="5"/>
  <c r="BF19" i="5" s="1"/>
  <c r="AZ42" i="5"/>
  <c r="BB2" i="5"/>
  <c r="L50" i="3"/>
  <c r="AZ5" i="5"/>
  <c r="AZ7" i="5"/>
  <c r="AZ6" i="5"/>
  <c r="BE8" i="5"/>
  <c r="BF13" i="5"/>
  <c r="BE9" i="5"/>
  <c r="BE11" i="5"/>
  <c r="BE12" i="5"/>
  <c r="BF25" i="5" l="1"/>
  <c r="BE27" i="5"/>
  <c r="BE44" i="5"/>
  <c r="BF21" i="5"/>
  <c r="BE23" i="5"/>
  <c r="BE46" i="5"/>
  <c r="BE48" i="5"/>
  <c r="BE50" i="5"/>
  <c r="AZ18" i="5"/>
  <c r="AZ56" i="5" s="1"/>
  <c r="BA16" i="5"/>
  <c r="BA54" i="5" s="1"/>
  <c r="BE19" i="5"/>
  <c r="BE83" i="5"/>
  <c r="BF83" i="5"/>
  <c r="AZ26" i="5"/>
  <c r="AZ64" i="5" s="1"/>
  <c r="AZ74" i="5"/>
  <c r="BE74" i="5" s="1"/>
  <c r="AZ20" i="5"/>
  <c r="AZ58" i="5" s="1"/>
  <c r="AZ71" i="5"/>
  <c r="AZ16" i="5"/>
  <c r="AZ54" i="5" s="1"/>
  <c r="AZ69" i="5"/>
  <c r="AZ75" i="5" s="1"/>
  <c r="AZ24" i="5"/>
  <c r="BF24" i="5" s="1"/>
  <c r="AZ73" i="5"/>
  <c r="BE73" i="5" s="1"/>
  <c r="AZ22" i="5"/>
  <c r="BF22" i="5" s="1"/>
  <c r="AZ72" i="5"/>
  <c r="BF72" i="5" s="1"/>
  <c r="BB16" i="5"/>
  <c r="BB54" i="5" s="1"/>
  <c r="BB69" i="5"/>
  <c r="BB18" i="5"/>
  <c r="BB56" i="5" s="1"/>
  <c r="BB70" i="5"/>
  <c r="BB20" i="5"/>
  <c r="BB58" i="5" s="1"/>
  <c r="BB71" i="5"/>
  <c r="BF40" i="5"/>
  <c r="BE40" i="5"/>
  <c r="BF42" i="5"/>
  <c r="BE42" i="5"/>
  <c r="BE17" i="5"/>
  <c r="BF9" i="5"/>
  <c r="BF11" i="5"/>
  <c r="BF8" i="5"/>
  <c r="BE13" i="5"/>
  <c r="BE10" i="5"/>
  <c r="BF10" i="5"/>
  <c r="BF12" i="5"/>
  <c r="L25" i="3"/>
  <c r="L53" i="3"/>
  <c r="M27" i="3"/>
  <c r="L23" i="3"/>
  <c r="K32" i="3" s="1"/>
  <c r="L24" i="3"/>
  <c r="K33" i="3" s="1"/>
  <c r="M25" i="3"/>
  <c r="L27" i="3"/>
  <c r="L52" i="3"/>
  <c r="BE56" i="5" l="1"/>
  <c r="BF74" i="5"/>
  <c r="AZ62" i="5"/>
  <c r="BE62" i="5" s="1"/>
  <c r="BE24" i="5"/>
  <c r="BE26" i="5"/>
  <c r="BE58" i="5"/>
  <c r="BF73" i="5"/>
  <c r="BF26" i="5"/>
  <c r="BE22" i="5"/>
  <c r="BE72" i="5"/>
  <c r="BE54" i="5"/>
  <c r="AZ60" i="5"/>
  <c r="BE60" i="5" s="1"/>
  <c r="BF58" i="5"/>
  <c r="BF54" i="5"/>
  <c r="BE20" i="5"/>
  <c r="BF20" i="5"/>
  <c r="BF70" i="5"/>
  <c r="BE70" i="5"/>
  <c r="BB75" i="5"/>
  <c r="BE69" i="5"/>
  <c r="BF69" i="5"/>
  <c r="BF71" i="5"/>
  <c r="BE71" i="5"/>
  <c r="BF16" i="5"/>
  <c r="BE16" i="5"/>
  <c r="BE18" i="5"/>
  <c r="BF18" i="5"/>
  <c r="BF56" i="5"/>
  <c r="K34" i="3"/>
  <c r="K53" i="3" s="1"/>
  <c r="N53" i="3" s="1"/>
  <c r="K36" i="3"/>
  <c r="K55" i="3" s="1"/>
  <c r="L29" i="3"/>
  <c r="BF64" i="5"/>
  <c r="BE64" i="5"/>
  <c r="K52" i="3"/>
  <c r="N52" i="3" s="1"/>
  <c r="K51" i="3"/>
  <c r="BF2" i="5"/>
  <c r="BE2" i="5"/>
  <c r="BF4" i="5"/>
  <c r="BE4" i="5"/>
  <c r="BE7" i="5"/>
  <c r="BE3" i="5"/>
  <c r="L55" i="3"/>
  <c r="L51" i="3"/>
  <c r="L54" i="3"/>
  <c r="L26" i="3"/>
  <c r="L22" i="3"/>
  <c r="K31" i="3" s="1"/>
  <c r="M26" i="3"/>
  <c r="L42" i="3" l="1"/>
  <c r="M42" i="3"/>
  <c r="K42" i="3"/>
  <c r="K41" i="3"/>
  <c r="L41" i="3"/>
  <c r="M41" i="3"/>
  <c r="BF62" i="5"/>
  <c r="BF60" i="5"/>
  <c r="BF75" i="5"/>
  <c r="BE75" i="5"/>
  <c r="K35" i="3"/>
  <c r="K54" i="3" s="1"/>
  <c r="N54" i="3" s="1"/>
  <c r="K50" i="3"/>
  <c r="O52" i="3"/>
  <c r="N6" i="5" s="1"/>
  <c r="O53" i="3"/>
  <c r="N7" i="5" s="1"/>
  <c r="BF3" i="5"/>
  <c r="N51" i="3"/>
  <c r="N55" i="3"/>
  <c r="BE5" i="5"/>
  <c r="BF5" i="5"/>
  <c r="BE6" i="5"/>
  <c r="BF6" i="5"/>
  <c r="BF7" i="5"/>
  <c r="K40" i="3" l="1"/>
  <c r="L40" i="3"/>
  <c r="M40" i="3"/>
  <c r="K44" i="3"/>
  <c r="L44" i="3"/>
  <c r="M44" i="3"/>
  <c r="L43" i="3"/>
  <c r="M43" i="3"/>
  <c r="K43" i="3"/>
  <c r="AZ35" i="5"/>
  <c r="AZ47" i="5" s="1"/>
  <c r="AZ61" i="5" s="1"/>
  <c r="BA35" i="5"/>
  <c r="BA47" i="5" s="1"/>
  <c r="BA61" i="5" s="1"/>
  <c r="AZ34" i="5"/>
  <c r="AZ45" i="5" s="1"/>
  <c r="AZ59" i="5" s="1"/>
  <c r="BA34" i="5"/>
  <c r="BA45" i="5" s="1"/>
  <c r="BA59" i="5" s="1"/>
  <c r="BB34" i="5"/>
  <c r="BB45" i="5" s="1"/>
  <c r="BB59" i="5" s="1"/>
  <c r="BB35" i="5"/>
  <c r="BB47" i="5" s="1"/>
  <c r="BB61" i="5" s="1"/>
  <c r="O54" i="3"/>
  <c r="N8" i="5" s="1"/>
  <c r="O51" i="3"/>
  <c r="N5" i="5" s="1"/>
  <c r="O55" i="3"/>
  <c r="N9" i="5" s="1"/>
  <c r="AZ37" i="5" l="1"/>
  <c r="AZ51" i="5" s="1"/>
  <c r="AZ65" i="5" s="1"/>
  <c r="BA37" i="5"/>
  <c r="BA51" i="5" s="1"/>
  <c r="BA65" i="5" s="1"/>
  <c r="AZ36" i="5"/>
  <c r="AZ49" i="5" s="1"/>
  <c r="AZ63" i="5" s="1"/>
  <c r="BA36" i="5"/>
  <c r="BA49" i="5" s="1"/>
  <c r="BA63" i="5" s="1"/>
  <c r="AZ33" i="5"/>
  <c r="AZ43" i="5" s="1"/>
  <c r="AZ57" i="5" s="1"/>
  <c r="BA33" i="5"/>
  <c r="BA43" i="5" s="1"/>
  <c r="BA57" i="5" s="1"/>
  <c r="N50" i="3"/>
  <c r="BE61" i="5"/>
  <c r="BF61" i="5"/>
  <c r="BF59" i="5"/>
  <c r="BE59" i="5"/>
  <c r="BE45" i="5"/>
  <c r="BF47" i="5"/>
  <c r="BE47" i="5"/>
  <c r="BF45" i="5"/>
  <c r="BB33" i="5"/>
  <c r="BB43" i="5" s="1"/>
  <c r="BB57" i="5" s="1"/>
  <c r="BB37" i="5"/>
  <c r="BB51" i="5" s="1"/>
  <c r="BB65" i="5" s="1"/>
  <c r="BB36" i="5"/>
  <c r="BB49" i="5" s="1"/>
  <c r="BB63" i="5" s="1"/>
  <c r="L39" i="3" l="1"/>
  <c r="M39" i="3"/>
  <c r="K39" i="3"/>
  <c r="O50" i="3"/>
  <c r="N4" i="5" s="1"/>
  <c r="BE63" i="5"/>
  <c r="BE65" i="5"/>
  <c r="BF57" i="5"/>
  <c r="BF65" i="5"/>
  <c r="BE57" i="5"/>
  <c r="BF63" i="5"/>
  <c r="BF51" i="5"/>
  <c r="BE51" i="5"/>
  <c r="BE49" i="5"/>
  <c r="BE43" i="5"/>
  <c r="BF43" i="5"/>
  <c r="BF49" i="5"/>
  <c r="AZ32" i="5" l="1"/>
  <c r="AZ41" i="5" s="1"/>
  <c r="AZ55" i="5" s="1"/>
  <c r="BA32" i="5"/>
  <c r="BA41" i="5" s="1"/>
  <c r="BA55" i="5" s="1"/>
  <c r="BB32" i="5"/>
  <c r="BB41" i="5" s="1"/>
  <c r="BB55" i="5" s="1"/>
  <c r="BE55" i="5" l="1"/>
  <c r="BE41" i="5"/>
  <c r="BF55" i="5"/>
  <c r="BF41" i="5"/>
</calcChain>
</file>

<file path=xl/sharedStrings.xml><?xml version="1.0" encoding="utf-8"?>
<sst xmlns="http://schemas.openxmlformats.org/spreadsheetml/2006/main" count="165" uniqueCount="127">
  <si>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</si>
  <si>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</si>
  <si>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</si>
  <si>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</si>
  <si>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</si>
  <si>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</si>
  <si>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</si>
  <si>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</si>
  <si>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</si>
  <si>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</si>
  <si>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dL2</t>
  </si>
  <si>
    <t>p00</t>
  </si>
  <si>
    <t>p01</t>
  </si>
  <si>
    <t>p02</t>
  </si>
  <si>
    <t>p03</t>
  </si>
  <si>
    <t>p04</t>
  </si>
  <si>
    <t>p05</t>
  </si>
  <si>
    <t>Angle</t>
  </si>
  <si>
    <t>X</t>
  </si>
  <si>
    <t>Y</t>
  </si>
  <si>
    <t>Z</t>
  </si>
  <si>
    <t>re00</t>
  </si>
  <si>
    <t>re01</t>
  </si>
  <si>
    <t>re02</t>
  </si>
  <si>
    <t>re03</t>
  </si>
  <si>
    <t>re04</t>
  </si>
  <si>
    <t>re05</t>
  </si>
  <si>
    <t>re10</t>
  </si>
  <si>
    <t>re11</t>
  </si>
  <si>
    <t>re12</t>
  </si>
  <si>
    <t>re13</t>
  </si>
  <si>
    <t>re14</t>
  </si>
  <si>
    <t>re15</t>
  </si>
  <si>
    <t>p10</t>
  </si>
  <si>
    <t>p11</t>
  </si>
  <si>
    <t>p12</t>
  </si>
  <si>
    <t>p13</t>
  </si>
  <si>
    <t>p14</t>
  </si>
  <si>
    <t>p15</t>
  </si>
  <si>
    <t>pe</t>
  </si>
  <si>
    <t>Platform Coords</t>
  </si>
  <si>
    <t>Base Coords</t>
  </si>
  <si>
    <t>Pitch</t>
  </si>
  <si>
    <t>Roll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</si>
  <si>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</si>
  <si>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</si>
  <si>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</si>
  <si>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</si>
  <si>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</si>
  <si>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</si>
  <si>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</si>
  <si>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</si>
  <si>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</si>
  <si>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</si>
  <si>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</si>
  <si>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</si>
  <si>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</si>
  <si>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</si>
  <si>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</si>
  <si>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</si>
  <si>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</si>
  <si>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</si>
  <si>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</si>
  <si>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</si>
  <si>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</si>
  <si>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</si>
  <si>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</si>
  <si>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</si>
  <si>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</si>
  <si>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</si>
  <si>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</si>
  <si>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</si>
  <si>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</si>
  <si>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</si>
  <si>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N</t>
  </si>
  <si>
    <t>alfa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</si>
  <si>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</si>
  <si>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</si>
  <si>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</si>
  <si>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</si>
  <si>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</si>
  <si>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</si>
  <si>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</si>
  <si>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</si>
  <si>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</si>
  <si>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</si>
  <si>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</si>
  <si>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</si>
  <si>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</si>
  <si>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Servo angle deg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</si>
  <si>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</si>
  <si>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</si>
  <si>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</si>
  <si>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</si>
  <si>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</si>
  <si>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</si>
  <si>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</si>
  <si>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</si>
  <si>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</si>
  <si>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</si>
  <si>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</si>
  <si>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</si>
  <si>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</si>
  <si>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</si>
  <si>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</si>
  <si>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</si>
  <si>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Virtual Leg lengths</t>
  </si>
  <si>
    <t>Pi to Bi</t>
  </si>
  <si>
    <t>Pi</t>
  </si>
  <si>
    <t>Bi</t>
  </si>
  <si>
    <t>Li</t>
  </si>
  <si>
    <t>Platform ring</t>
  </si>
  <si>
    <t>Base Ring</t>
  </si>
  <si>
    <t>offset angle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</si>
  <si>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</si>
  <si>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</si>
  <si>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</si>
  <si>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</si>
  <si>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</si>
  <si>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</si>
  <si>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Angle at which the servo arm lies(Degrees)</t>
  </si>
  <si>
    <t>Servo arm length</t>
  </si>
  <si>
    <t>Connecting arm length</t>
  </si>
  <si>
    <t>Adjust sway, surge, heave, pitch, roll, yaw  by means of slide bars below or on page "3D View"</t>
  </si>
  <si>
    <t>Parameters in blue may be edited</t>
  </si>
  <si>
    <t>Please use this file for personal use only, published on as is basis. I take no responsibility for any injury, damages or losses that occur as a result of using this calculator. Donations welcome :)</t>
    <phoneticPr fontId="8"/>
  </si>
  <si>
    <t>dmwaters1982@gmail.com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</si>
</sst>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10">
    <font>
      <sz val="10"/>
      <color theme="1"/>
      <name val="MetaPlusLF"/>
      <family val="2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sz val="10"/>
      <color rgb="FF000000"/>
      <name val="MetaPlusLF"/>
    </font>
    <font>
      <b/>
      <u/>
      <sz val="10"/>
      <name val="Arial"/>
      <family val="2"/>
    </font>
    <font>
      <b/>
      <u/>
      <sz val="20"/>
      <color theme="1"/>
      <name val="MetaPlusLF"/>
    </font>
    <font>
      <b/>
      <u/>
      <sz val="16"/>
      <color theme="1"/>
      <name val="MetaPlusLF"/>
    </font>
    <font>
      <sz val="6"/>
      <name val="HGGothicE"/>
      <family val="3"/>
      <charset val="128"/>
    </font>
    <font>
      <u/>
      <sz val="10"/>
      <color theme="10"/>
      <name val="MetaPlusLF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3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164" fontId="0" fillId="0" borderId="0" xfId="1" applyFont="1"/>
    <xf numFmtId="0" fontId="3" fillId="0" borderId="0" xfId="3"/>
    <xf numFmtId="0" fontId="3" fillId="0" borderId="0" xfId="3" applyFill="1" applyBorder="1"/>
    <xf numFmtId="0" fontId="3" fillId="0" borderId="2" xfId="3" applyBorder="1"/>
    <xf numFmtId="0" fontId="3" fillId="0" borderId="3" xfId="3" applyBorder="1"/>
    <xf numFmtId="0" fontId="3" fillId="0" borderId="4" xfId="3" applyBorder="1"/>
    <xf numFmtId="0" fontId="3" fillId="3" borderId="2" xfId="3" applyFill="1" applyBorder="1"/>
    <xf numFmtId="0" fontId="3" fillId="3" borderId="3" xfId="3" applyFill="1" applyBorder="1"/>
    <xf numFmtId="0" fontId="3" fillId="3" borderId="4" xfId="3" applyFill="1" applyBorder="1"/>
    <xf numFmtId="0" fontId="3" fillId="0" borderId="1" xfId="3" applyBorder="1"/>
    <xf numFmtId="0" fontId="3" fillId="0" borderId="0" xfId="3" applyBorder="1"/>
    <xf numFmtId="0" fontId="3" fillId="0" borderId="5" xfId="3" applyBorder="1"/>
    <xf numFmtId="0" fontId="3" fillId="3" borderId="6" xfId="3" applyFill="1" applyBorder="1"/>
    <xf numFmtId="0" fontId="3" fillId="3" borderId="7" xfId="3" applyFill="1" applyBorder="1"/>
    <xf numFmtId="0" fontId="3" fillId="3" borderId="8" xfId="3" applyFill="1" applyBorder="1"/>
    <xf numFmtId="0" fontId="3" fillId="3" borderId="1" xfId="3" applyFill="1" applyBorder="1"/>
    <xf numFmtId="0" fontId="3" fillId="3" borderId="0" xfId="3" applyFill="1" applyBorder="1"/>
    <xf numFmtId="0" fontId="3" fillId="3" borderId="5" xfId="3" applyFill="1" applyBorder="1"/>
    <xf numFmtId="0" fontId="3" fillId="0" borderId="6" xfId="3" applyBorder="1"/>
    <xf numFmtId="0" fontId="3" fillId="0" borderId="7" xfId="3" applyBorder="1"/>
    <xf numFmtId="0" fontId="3" fillId="0" borderId="8" xfId="3" applyBorder="1"/>
    <xf numFmtId="0" fontId="3" fillId="3" borderId="9" xfId="3" applyFill="1" applyBorder="1"/>
    <xf numFmtId="0" fontId="3" fillId="0" borderId="1" xfId="3" applyFill="1" applyBorder="1"/>
    <xf numFmtId="164" fontId="0" fillId="0" borderId="0" xfId="0" applyNumberFormat="1"/>
    <xf numFmtId="15" fontId="3" fillId="0" borderId="0" xfId="3" applyNumberFormat="1"/>
    <xf numFmtId="0" fontId="3" fillId="0" borderId="11" xfId="3" applyBorder="1"/>
    <xf numFmtId="0" fontId="3" fillId="0" borderId="12" xfId="3" applyBorder="1"/>
    <xf numFmtId="0" fontId="3" fillId="0" borderId="10" xfId="3" applyBorder="1"/>
    <xf numFmtId="164" fontId="3" fillId="0" borderId="7" xfId="3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0" xfId="0" applyFill="1" applyBorder="1"/>
    <xf numFmtId="0" fontId="0" fillId="2" borderId="17" xfId="0" applyFill="1" applyBorder="1"/>
    <xf numFmtId="164" fontId="0" fillId="0" borderId="17" xfId="1" applyFont="1" applyBorder="1"/>
    <xf numFmtId="0" fontId="3" fillId="0" borderId="13" xfId="3" applyBorder="1"/>
    <xf numFmtId="0" fontId="3" fillId="0" borderId="15" xfId="3" applyBorder="1"/>
    <xf numFmtId="0" fontId="3" fillId="0" borderId="16" xfId="3" applyBorder="1"/>
    <xf numFmtId="0" fontId="3" fillId="0" borderId="18" xfId="3" applyBorder="1"/>
    <xf numFmtId="164" fontId="0" fillId="0" borderId="20" xfId="1" applyFont="1" applyBorder="1"/>
    <xf numFmtId="0" fontId="5" fillId="0" borderId="0" xfId="3" applyFont="1"/>
    <xf numFmtId="0" fontId="3" fillId="0" borderId="17" xfId="3" applyBorder="1"/>
    <xf numFmtId="0" fontId="3" fillId="0" borderId="19" xfId="3" applyBorder="1"/>
    <xf numFmtId="0" fontId="3" fillId="0" borderId="20" xfId="3" applyBorder="1"/>
    <xf numFmtId="0" fontId="3" fillId="0" borderId="14" xfId="3" applyBorder="1"/>
    <xf numFmtId="164" fontId="0" fillId="0" borderId="19" xfId="1" applyFont="1" applyBorder="1"/>
    <xf numFmtId="0" fontId="0" fillId="0" borderId="0" xfId="0" applyFill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164" fontId="0" fillId="0" borderId="0" xfId="1" applyFont="1" applyFill="1" applyBorder="1"/>
    <xf numFmtId="164" fontId="0" fillId="0" borderId="19" xfId="1" applyFont="1" applyFill="1" applyBorder="1"/>
    <xf numFmtId="164" fontId="0" fillId="0" borderId="0" xfId="1" applyFont="1" applyFill="1"/>
    <xf numFmtId="0" fontId="0" fillId="4" borderId="12" xfId="0" applyFill="1" applyBorder="1"/>
    <xf numFmtId="0" fontId="0" fillId="4" borderId="1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1" xfId="0" applyFill="1" applyBorder="1"/>
    <xf numFmtId="0" fontId="6" fillId="0" borderId="16" xfId="0" applyFont="1" applyBorder="1"/>
    <xf numFmtId="0" fontId="7" fillId="0" borderId="16" xfId="0" applyFont="1" applyBorder="1"/>
    <xf numFmtId="0" fontId="9" fillId="0" borderId="0" xfId="4" applyAlignment="1" applyProtection="1"/>
  </cellXfs>
  <cellStyles count="5">
    <cellStyle name="Komma" xfId="1" builtinId="3"/>
    <cellStyle name="Link" xfId="4" builtinId="8"/>
    <cellStyle name="Normal 2" xfId="2"/>
    <cellStyle name="Normal 3" xfId="3"/>
    <cellStyle name="Standard" xfId="0" builtinId="0"/>
  </cellStyles>
  <dxfs count="1"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{00BF7A0D-47F3-40F9-8E96-56B5C72F91CB}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769-476B-8E21-71A1111756CC}"/>
                </c:ext>
              </c:extLst>
            </c:dLbl>
            <c:dLbl>
              <c:idx val="1"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{014CD6B7-A8BA-4343-8E73-134177DC8C28}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769-476B-8E21-71A1111756CC}"/>
                </c:ext>
              </c:extLst>
            </c:dLbl>
            <c:dLbl>
              <c:idx val="2"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{674D8095-B859-4C93-A221-6DE514F8CECF}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769-476B-8E21-71A1111756CC}"/>
                </c:ext>
              </c:extLst>
            </c:dLbl>
            <c:dLbl>
              <c:idx val="3"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{1837D231-D0F9-42F1-BF3E-3EB7DE4DFC3A}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769-476B-8E21-71A1111756CC}"/>
                </c:ext>
              </c:extLst>
            </c:dLbl>
            <c:dLbl>
              <c:idx val="4"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{3BCEAAD2-4942-421B-917D-B7952AA60722}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769-476B-8E21-71A1111756CC}"/>
                </c:ext>
              </c:extLst>
            </c:dLbl>
            <c:dLbl>
              <c:idx val="5"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{9897CA01-47AB-41C3-BD39-FCDEF007D037}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769-476B-8E21-71A1111756CC}"/>
                </c:ext>
              </c:extLst>
            </c:dLbl>
            <c:dLbl>
              <c:idx val="6"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{F5B385BD-B2AE-4030-AEF2-F37F0BB8EFDE}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769-476B-8E21-71A1111756CC}"/>
                </c:ext>
              </c:extLst>
            </c:dLbl>
            <c:dLbl>
              <c:idx val="7"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{71CD980B-51A0-4662-86BE-D479F19F47D9}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769-476B-8E21-71A1111756CC}"/>
                </c:ext>
              </c:extLst>
            </c:dLbl>
            <c:dLbl>
              <c:idx val="8"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{231CD68F-5149-4DDE-8193-3A35028BE4EF}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769-476B-8E21-71A1111756CC}"/>
                </c:ext>
              </c:extLst>
            </c:dLbl>
            <c:dLbl>
              <c:idx val="9"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{D372A289-E3FA-46B7-A8DE-45C506371D3F}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769-476B-8E21-71A1111756CC}"/>
                </c:ext>
              </c:extLst>
            </c:dLbl>
            <c:dLbl>
              <c:idx val="10"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{75CBEC1B-EA49-4B4F-A1EC-A224620B0E39}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769-476B-8E21-71A1111756CC}"/>
                </c:ext>
              </c:extLst>
            </c:dLbl>
            <c:dLbl>
              <c:idx val="11"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{EE4CEC63-823B-4006-A211-1DFE102751A9}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769-476B-8E21-71A1111756C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20.124381369905613</c:v>
                </c:pt>
                <c:pt idx="1">
                  <c:v>30.172609783236133</c:v>
                </c:pt>
                <c:pt idx="2">
                  <c:v>15.97796605373866</c:v>
                </c:pt>
                <c:pt idx="3">
                  <c:v>0.73413743774257867</c:v>
                </c:pt>
                <c:pt idx="4">
                  <c:v>-26.718133113533607</c:v>
                </c:pt>
                <c:pt idx="5">
                  <c:v>-21.522532910868048</c:v>
                </c:pt>
                <c:pt idx="6">
                  <c:v>28.925442435894272</c:v>
                </c:pt>
                <c:pt idx="7">
                  <c:v>38.97114317029974</c:v>
                </c:pt>
                <c:pt idx="8">
                  <c:v>15.390906449655095</c:v>
                </c:pt>
                <c:pt idx="9">
                  <c:v>-3.5527136788005009E-15</c:v>
                </c:pt>
                <c:pt idx="10">
                  <c:v>-44.31634888554936</c:v>
                </c:pt>
                <c:pt idx="11">
                  <c:v>-38.97114317029974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132.67609483220468</c:v>
                </c:pt>
                <c:pt idx="1">
                  <c:v>123.133450339657</c:v>
                </c:pt>
                <c:pt idx="2">
                  <c:v>92.77258409249734</c:v>
                </c:pt>
                <c:pt idx="3">
                  <c:v>91.202380257683075</c:v>
                </c:pt>
                <c:pt idx="4">
                  <c:v>117.27336984989067</c:v>
                </c:pt>
                <c:pt idx="5">
                  <c:v>128.3862181772526</c:v>
                </c:pt>
                <c:pt idx="6">
                  <c:v>18.267376845039472</c:v>
                </c:pt>
                <c:pt idx="7">
                  <c:v>11.923183445247103</c:v>
                </c:pt>
                <c:pt idx="8">
                  <c:v>-22.408254999550817</c:v>
                </c:pt>
                <c:pt idx="9">
                  <c:v>-23.846366890494213</c:v>
                </c:pt>
                <c:pt idx="10">
                  <c:v>4.1408781545113431</c:v>
                </c:pt>
                <c:pt idx="11">
                  <c:v>11.923183445247105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769-476B-8E21-71A1111756CC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769-476B-8E21-71A1111756CC}"/>
                </c:ext>
              </c:extLst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769-476B-8E21-71A1111756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769-476B-8E21-71A1111756CC}"/>
                </c:ext>
              </c:extLst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769-476B-8E21-71A1111756CC}"/>
                </c:ext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769-476B-8E21-71A1111756CC}"/>
                </c:ext>
              </c:extLst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769-476B-8E21-71A1111756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-107.34404507833068</c:v>
                </c:pt>
                <c:pt idx="1">
                  <c:v>107.34404507833068</c:v>
                </c:pt>
                <c:pt idx="2">
                  <c:v>0</c:v>
                </c:pt>
                <c:pt idx="3">
                  <c:v>18.927651365695407</c:v>
                </c:pt>
                <c:pt idx="4">
                  <c:v>-18.927651365695407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-10.030127085371921</c:v>
                </c:pt>
                <c:pt idx="1">
                  <c:v>10.030127085371921</c:v>
                </c:pt>
                <c:pt idx="2">
                  <c:v>0</c:v>
                </c:pt>
                <c:pt idx="3">
                  <c:v>-56.883677387724951</c:v>
                </c:pt>
                <c:pt idx="4">
                  <c:v>56.883677387724951</c:v>
                </c:pt>
                <c:pt idx="5">
                  <c:v>0</c:v>
                </c:pt>
                <c:pt idx="6">
                  <c:v>-92.437242481050447</c:v>
                </c:pt>
                <c:pt idx="7">
                  <c:v>92.437242481050447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769-476B-8E21-71A1111756CC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-88.416393712635269</c:v>
                </c:pt>
                <c:pt idx="1">
                  <c:v>126.27169644402609</c:v>
                </c:pt>
                <c:pt idx="2">
                  <c:v>88.416393712635269</c:v>
                </c:pt>
                <c:pt idx="3">
                  <c:v>-126.27169644402609</c:v>
                </c:pt>
                <c:pt idx="4">
                  <c:v>-88.416393712635269</c:v>
                </c:pt>
                <c:pt idx="5">
                  <c:v>-88.416393712635269</c:v>
                </c:pt>
                <c:pt idx="6">
                  <c:v>126.27169644402609</c:v>
                </c:pt>
                <c:pt idx="7">
                  <c:v>88.416393712635269</c:v>
                </c:pt>
                <c:pt idx="8">
                  <c:v>-126.27169644402609</c:v>
                </c:pt>
                <c:pt idx="9">
                  <c:v>-88.416393712635269</c:v>
                </c:pt>
                <c:pt idx="11">
                  <c:v>-126.27169644402609</c:v>
                </c:pt>
                <c:pt idx="12">
                  <c:v>-126.27169644402609</c:v>
                </c:pt>
                <c:pt idx="14">
                  <c:v>88.416393712635269</c:v>
                </c:pt>
                <c:pt idx="15">
                  <c:v>88.416393712635269</c:v>
                </c:pt>
                <c:pt idx="17">
                  <c:v>126.27169644402609</c:v>
                </c:pt>
                <c:pt idx="18">
                  <c:v>126.27169644402609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-159.35104695414731</c:v>
                </c:pt>
                <c:pt idx="1">
                  <c:v>-139.29079278340348</c:v>
                </c:pt>
                <c:pt idx="2">
                  <c:v>-25.523438007953573</c:v>
                </c:pt>
                <c:pt idx="3">
                  <c:v>-45.583692178697419</c:v>
                </c:pt>
                <c:pt idx="4">
                  <c:v>-159.35104695414731</c:v>
                </c:pt>
                <c:pt idx="5">
                  <c:v>25.523438007953573</c:v>
                </c:pt>
                <c:pt idx="6">
                  <c:v>45.583692178697419</c:v>
                </c:pt>
                <c:pt idx="7">
                  <c:v>159.35104695414731</c:v>
                </c:pt>
                <c:pt idx="8">
                  <c:v>139.29079278340348</c:v>
                </c:pt>
                <c:pt idx="9">
                  <c:v>25.523438007953573</c:v>
                </c:pt>
                <c:pt idx="11">
                  <c:v>139.29079278340348</c:v>
                </c:pt>
                <c:pt idx="12">
                  <c:v>-45.583692178697419</c:v>
                </c:pt>
                <c:pt idx="14">
                  <c:v>-25.523438007953573</c:v>
                </c:pt>
                <c:pt idx="15">
                  <c:v>159.35104695414731</c:v>
                </c:pt>
                <c:pt idx="17">
                  <c:v>45.583692178697419</c:v>
                </c:pt>
                <c:pt idx="18">
                  <c:v>-139.29079278340348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769-476B-8E21-71A1111756CC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20.124381369905613</c:v>
                </c:pt>
                <c:pt idx="1">
                  <c:v>28.925442435894272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132.67609483220468</c:v>
                </c:pt>
                <c:pt idx="1">
                  <c:v>18.267376845039472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769-476B-8E21-71A1111756CC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30.172609783236133</c:v>
                </c:pt>
                <c:pt idx="1">
                  <c:v>38.97114317029974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123.133450339657</c:v>
                </c:pt>
                <c:pt idx="1">
                  <c:v>11.923183445247103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769-476B-8E21-71A1111756CC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15.97796605373866</c:v>
                </c:pt>
                <c:pt idx="1">
                  <c:v>15.390906449655095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92.77258409249734</c:v>
                </c:pt>
                <c:pt idx="1">
                  <c:v>-22.408254999550817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769-476B-8E21-71A1111756CC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0.73413743774257867</c:v>
                </c:pt>
                <c:pt idx="1">
                  <c:v>-3.5527136788005009E-15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91.202380257683075</c:v>
                </c:pt>
                <c:pt idx="1">
                  <c:v>-23.846366890494213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769-476B-8E21-71A1111756CC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-26.718133113533607</c:v>
                </c:pt>
                <c:pt idx="1">
                  <c:v>-44.31634888554936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117.27336984989067</c:v>
                </c:pt>
                <c:pt idx="1">
                  <c:v>4.1408781545113431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769-476B-8E21-71A1111756CC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-21.522532910868048</c:v>
                </c:pt>
                <c:pt idx="1">
                  <c:v>-38.97114317029974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128.3862181772526</c:v>
                </c:pt>
                <c:pt idx="1">
                  <c:v>11.923183445247105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769-476B-8E21-71A1111756CC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28.925442435894272</c:v>
                </c:pt>
                <c:pt idx="1">
                  <c:v>-0.41099924428914747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18.267376845039472</c:v>
                </c:pt>
                <c:pt idx="1">
                  <c:v>18.538302331407245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769-476B-8E21-71A1111756CC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38.97114317029974</c:v>
                </c:pt>
                <c:pt idx="1">
                  <c:v>28.720338469004805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11.923183445247103</c:v>
                </c:pt>
                <c:pt idx="1">
                  <c:v>-4.1130422742918302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769-476B-8E21-71A1111756CC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15.390906449655095</c:v>
                </c:pt>
                <c:pt idx="1">
                  <c:v>24.481388562727719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-22.408254999550817</c:v>
                </c:pt>
                <c:pt idx="1">
                  <c:v>-20.971826869989243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769-476B-8E21-71A1111756CC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-3.5527136788005009E-15</c:v>
                </c:pt>
                <c:pt idx="1">
                  <c:v>-17.318837670950074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-23.846366890494213</c:v>
                </c:pt>
                <c:pt idx="1">
                  <c:v>-24.097302679325182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769-476B-8E21-71A1111756CC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-44.31634888554936</c:v>
                </c:pt>
                <c:pt idx="1">
                  <c:v>-25.056967852742122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4.1408781545113431</c:v>
                </c:pt>
                <c:pt idx="1">
                  <c:v>-9.2974915479112781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769-476B-8E21-71A1111756CC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-38.97114317029974</c:v>
                </c:pt>
                <c:pt idx="1">
                  <c:v>-9.5729339839117209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11.923183445247105</c:v>
                </c:pt>
                <c:pt idx="1">
                  <c:v>17.196479261076675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769-476B-8E21-71A1111756CC}"/>
            </c:ext>
          </c:extLst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20.124381369905613</c:v>
                </c:pt>
                <c:pt idx="1">
                  <c:v>-0.41099924428914747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132.67609483220468</c:v>
                </c:pt>
                <c:pt idx="1">
                  <c:v>18.538302331407245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769-476B-8E21-71A1111756CC}"/>
            </c:ext>
          </c:extLst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30.172609783236133</c:v>
                </c:pt>
                <c:pt idx="1">
                  <c:v>28.720338469004805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123.133450339657</c:v>
                </c:pt>
                <c:pt idx="1">
                  <c:v>-4.1130422742918302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769-476B-8E21-71A1111756CC}"/>
            </c:ext>
          </c:extLst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15.97796605373866</c:v>
                </c:pt>
                <c:pt idx="1">
                  <c:v>24.481388562727719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92.77258409249734</c:v>
                </c:pt>
                <c:pt idx="1">
                  <c:v>-20.971826869989243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769-476B-8E21-71A1111756CC}"/>
            </c:ext>
          </c:extLst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0.73413743774257867</c:v>
                </c:pt>
                <c:pt idx="1">
                  <c:v>-17.318837670950074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91.202380257683075</c:v>
                </c:pt>
                <c:pt idx="1">
                  <c:v>-24.097302679325182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769-476B-8E21-71A1111756CC}"/>
            </c:ext>
          </c:extLst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-26.718133113533607</c:v>
                </c:pt>
                <c:pt idx="1">
                  <c:v>-25.056967852742122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117.27336984989067</c:v>
                </c:pt>
                <c:pt idx="1">
                  <c:v>-9.2974915479112781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769-476B-8E21-71A1111756CC}"/>
            </c:ext>
          </c:extLst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-21.522532910868048</c:v>
                </c:pt>
                <c:pt idx="1">
                  <c:v>-9.5729339839117209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128.3862181772526</c:v>
                </c:pt>
                <c:pt idx="1">
                  <c:v>17.196479261076675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769-476B-8E21-71A1111756CC}"/>
            </c:ext>
          </c:extLst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20.124381369905613</c:v>
                </c:pt>
                <c:pt idx="1">
                  <c:v>30.172609783236133</c:v>
                </c:pt>
                <c:pt idx="2">
                  <c:v>15.97796605373866</c:v>
                </c:pt>
                <c:pt idx="3">
                  <c:v>0.73413743774257867</c:v>
                </c:pt>
                <c:pt idx="4">
                  <c:v>-26.718133113533607</c:v>
                </c:pt>
                <c:pt idx="5">
                  <c:v>-21.522532910868048</c:v>
                </c:pt>
                <c:pt idx="6">
                  <c:v>20.124381369905613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132.67609483220468</c:v>
                </c:pt>
                <c:pt idx="1">
                  <c:v>123.133450339657</c:v>
                </c:pt>
                <c:pt idx="2">
                  <c:v>92.77258409249734</c:v>
                </c:pt>
                <c:pt idx="3">
                  <c:v>91.202380257683075</c:v>
                </c:pt>
                <c:pt idx="4">
                  <c:v>117.27336984989067</c:v>
                </c:pt>
                <c:pt idx="5">
                  <c:v>128.3862181772526</c:v>
                </c:pt>
                <c:pt idx="6">
                  <c:v>132.67609483220468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769-476B-8E21-71A1111756CC}"/>
            </c:ext>
          </c:extLst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28.925442435894272</c:v>
                </c:pt>
                <c:pt idx="1">
                  <c:v>38.97114317029974</c:v>
                </c:pt>
                <c:pt idx="2">
                  <c:v>15.390906449655095</c:v>
                </c:pt>
                <c:pt idx="3">
                  <c:v>-3.5527136788005009E-15</c:v>
                </c:pt>
                <c:pt idx="4">
                  <c:v>-44.31634888554936</c:v>
                </c:pt>
                <c:pt idx="5">
                  <c:v>-38.97114317029974</c:v>
                </c:pt>
                <c:pt idx="6">
                  <c:v>28.925442435894272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18.267376845039472</c:v>
                </c:pt>
                <c:pt idx="1">
                  <c:v>11.923183445247103</c:v>
                </c:pt>
                <c:pt idx="2">
                  <c:v>-22.408254999550817</c:v>
                </c:pt>
                <c:pt idx="3">
                  <c:v>-23.846366890494213</c:v>
                </c:pt>
                <c:pt idx="4">
                  <c:v>4.1408781545113431</c:v>
                </c:pt>
                <c:pt idx="5">
                  <c:v>11.923183445247105</c:v>
                </c:pt>
                <c:pt idx="6">
                  <c:v>18.267376845039472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769-476B-8E21-71A111175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29120"/>
        <c:axId val="69430656"/>
      </c:scatterChart>
      <c:valAx>
        <c:axId val="69429120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de-DE"/>
          </a:p>
        </c:txPr>
        <c:crossAx val="69430656"/>
        <c:crosses val="autoZero"/>
        <c:crossBetween val="midCat"/>
      </c:valAx>
      <c:valAx>
        <c:axId val="69430656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de-DE"/>
          </a:p>
        </c:txPr>
        <c:crossAx val="694291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467"/>
          <c:y val="0.34552336921187665"/>
          <c:w val="0.32572004975958757"/>
          <c:h val="0.609687495485083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6.7993815968044924</c:v>
                </c:pt>
                <c:pt idx="1">
                  <c:v>-2.5043202917678262</c:v>
                </c:pt>
                <c:pt idx="2">
                  <c:v>-27.630142876691803</c:v>
                </c:pt>
                <c:pt idx="3">
                  <c:v>-26.08913995277765</c:v>
                </c:pt>
                <c:pt idx="4">
                  <c:v>-2.873558789858508</c:v>
                </c:pt>
                <c:pt idx="5">
                  <c:v>5.6989066885422908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9-4994-8A25-B50C1E8C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92736"/>
        <c:axId val="55094272"/>
      </c:barChart>
      <c:catAx>
        <c:axId val="5509273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de-DE"/>
          </a:p>
        </c:txPr>
        <c:crossAx val="55094272"/>
        <c:crosses val="autoZero"/>
        <c:auto val="1"/>
        <c:lblAlgn val="ctr"/>
        <c:lblOffset val="40"/>
        <c:noMultiLvlLbl val="0"/>
      </c:catAx>
      <c:valAx>
        <c:axId val="55094272"/>
        <c:scaling>
          <c:orientation val="minMax"/>
          <c:max val="65"/>
          <c:min val="-50"/>
        </c:scaling>
        <c:delete val="0"/>
        <c:axPos val="l"/>
        <c:majorGridlines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de-DE"/>
          </a:p>
        </c:txPr>
        <c:crossAx val="550927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695698157557294E-2"/>
          <c:y val="6.7515783517132014E-2"/>
          <c:w val="0.87487116245558827"/>
          <c:h val="0.90689714029708635"/>
        </c:manualLayout>
      </c:layout>
      <c:scatterChart>
        <c:scatterStyle val="lineMarker"/>
        <c:varyColors val="0"/>
        <c:ser>
          <c:idx val="0"/>
          <c:order val="0"/>
          <c:tx>
            <c:v>Servo Axis</c:v>
          </c:tx>
          <c:spPr>
            <a:ln w="28575">
              <a:noFill/>
            </a:ln>
          </c:spPr>
          <c:dLbls>
            <c:dLbl>
              <c:idx val="0"/>
              <c:tx>
                <c:strRef>
                  <c:f>DATA!$J$3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{3B84D24B-152D-457D-B714-576BB371732A}</c15:txfldGUID>
                      <c15:f>DATA!$J$3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556-449E-A18F-7C3BB5055266}"/>
                </c:ext>
              </c:extLst>
            </c:dLbl>
            <c:dLbl>
              <c:idx val="1"/>
              <c:layout>
                <c:manualLayout>
                  <c:x val="-1.4866433290977711E-2"/>
                  <c:y val="-7.1278802463294655E-2"/>
                </c:manualLayout>
              </c:layout>
              <c:tx>
                <c:strRef>
                  <c:f>DATA!$J$4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{812C5E3B-6C85-4B4F-8325-48C192D817B7}</c15:txfldGUID>
                      <c15:f>DATA!$J$4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556-449E-A18F-7C3BB5055266}"/>
                </c:ext>
              </c:extLst>
            </c:dLbl>
            <c:dLbl>
              <c:idx val="2"/>
              <c:tx>
                <c:strRef>
                  <c:f>DATA!$J$5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{14C6F9D2-81A6-4B8C-988E-7EDD3A6E7602}</c15:txfldGUID>
                      <c15:f>DATA!$J$5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556-449E-A18F-7C3BB5055266}"/>
                </c:ext>
              </c:extLst>
            </c:dLbl>
            <c:dLbl>
              <c:idx val="3"/>
              <c:tx>
                <c:strRef>
                  <c:f>DATA!$J$6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{4A0E01B9-82CC-4336-9BAD-2F20C4EB8A97}</c15:txfldGUID>
                      <c15:f>DATA!$J$6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556-449E-A18F-7C3BB5055266}"/>
                </c:ext>
              </c:extLst>
            </c:dLbl>
            <c:dLbl>
              <c:idx val="4"/>
              <c:tx>
                <c:strRef>
                  <c:f>DATA!$J$7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{9780D3BD-6417-45E2-8E91-55C7292ABCCE}</c15:txfldGUID>
                      <c15:f>DATA!$J$7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556-449E-A18F-7C3BB5055266}"/>
                </c:ext>
              </c:extLst>
            </c:dLbl>
            <c:dLbl>
              <c:idx val="5"/>
              <c:tx>
                <c:strRef>
                  <c:f>DATA!$J$8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{CE4FD5D2-D786-4198-9F65-011BBBC67299}</c15:txfldGUID>
                      <c15:f>DATA!$J$8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556-449E-A18F-7C3BB50552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DATA!$G$30:$G$35</c:f>
              <c:numCache>
                <c:formatCode>General</c:formatCode>
                <c:ptCount val="6"/>
                <c:pt idx="0">
                  <c:v>34.47199994035401</c:v>
                </c:pt>
                <c:pt idx="1">
                  <c:v>42.286167935365881</c:v>
                </c:pt>
                <c:pt idx="2">
                  <c:v>7.8141679950118688</c:v>
                </c:pt>
                <c:pt idx="3">
                  <c:v>-7.8141679950118688</c:v>
                </c:pt>
                <c:pt idx="4">
                  <c:v>-42.286167935365881</c:v>
                </c:pt>
                <c:pt idx="5">
                  <c:v>-34.47199994035401</c:v>
                </c:pt>
              </c:numCache>
            </c:numRef>
          </c:xVal>
          <c:yVal>
            <c:numRef>
              <c:f>DATA!$G$36:$G$41</c:f>
              <c:numCache>
                <c:formatCode>General</c:formatCode>
                <c:ptCount val="6"/>
                <c:pt idx="0">
                  <c:v>28.925442435894265</c:v>
                </c:pt>
                <c:pt idx="1">
                  <c:v>15.390906449655089</c:v>
                </c:pt>
                <c:pt idx="2">
                  <c:v>-44.31634888554936</c:v>
                </c:pt>
                <c:pt idx="3">
                  <c:v>-44.31634888554936</c:v>
                </c:pt>
                <c:pt idx="4">
                  <c:v>15.390906449655089</c:v>
                </c:pt>
                <c:pt idx="5">
                  <c:v>28.925442435894265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56-449E-A18F-7C3BB5055266}"/>
            </c:ext>
          </c:extLst>
        </c:ser>
        <c:ser>
          <c:idx val="1"/>
          <c:order val="1"/>
          <c:tx>
            <c:v>Platform Joints</c:v>
          </c:tx>
          <c:spPr>
            <a:ln w="28575">
              <a:noFill/>
            </a:ln>
          </c:spPr>
          <c:xVal>
            <c:numRef>
              <c:f>DATA!$G$8:$G$13</c:f>
              <c:numCache>
                <c:formatCode>General</c:formatCode>
                <c:ptCount val="6"/>
                <c:pt idx="0">
                  <c:v>21.213203435596427</c:v>
                </c:pt>
                <c:pt idx="1">
                  <c:v>28.97777478867205</c:v>
                </c:pt>
                <c:pt idx="2">
                  <c:v>7.7645713530756222</c:v>
                </c:pt>
                <c:pt idx="3">
                  <c:v>-7.7645713530756222</c:v>
                </c:pt>
                <c:pt idx="4">
                  <c:v>-28.97777478867205</c:v>
                </c:pt>
                <c:pt idx="5">
                  <c:v>-21.213203435596427</c:v>
                </c:pt>
              </c:numCache>
            </c:numRef>
          </c:xVal>
          <c:yVal>
            <c:numRef>
              <c:f>DATA!$G$14:$G$19</c:f>
              <c:numCache>
                <c:formatCode>General</c:formatCode>
                <c:ptCount val="6"/>
                <c:pt idx="0">
                  <c:v>21.213203435596423</c:v>
                </c:pt>
                <c:pt idx="1">
                  <c:v>7.7645713530756222</c:v>
                </c:pt>
                <c:pt idx="2">
                  <c:v>-28.97777478867205</c:v>
                </c:pt>
                <c:pt idx="3">
                  <c:v>-28.97777478867205</c:v>
                </c:pt>
                <c:pt idx="4">
                  <c:v>7.7645713530756222</c:v>
                </c:pt>
                <c:pt idx="5">
                  <c:v>21.213203435596423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56-449E-A18F-7C3BB5055266}"/>
            </c:ext>
          </c:extLst>
        </c:ser>
        <c:ser>
          <c:idx val="2"/>
          <c:order val="2"/>
          <c:tx>
            <c:v>Servo Arm Pivots</c:v>
          </c:tx>
          <c:spPr>
            <a:ln w="28575">
              <a:noFill/>
            </a:ln>
          </c:spPr>
          <c:xVal>
            <c:numRef>
              <c:f>DATA!$K$39:$K$44</c:f>
              <c:numCache>
                <c:formatCode>_ * #,##0.00_ ;_ * \-#,##0.00_ ;_ * "-"??_ ;_ @_ </c:formatCode>
                <c:ptCount val="6"/>
                <c:pt idx="0">
                  <c:v>4.6829963602616118</c:v>
                </c:pt>
                <c:pt idx="1">
                  <c:v>27.300493989936577</c:v>
                </c:pt>
                <c:pt idx="2">
                  <c:v>21.10356379591466</c:v>
                </c:pt>
                <c:pt idx="3">
                  <c:v>-21.285832204124222</c:v>
                </c:pt>
                <c:pt idx="4">
                  <c:v>-27.305028953705019</c:v>
                </c:pt>
                <c:pt idx="5">
                  <c:v>-4.6202759907116437</c:v>
                </c:pt>
              </c:numCache>
            </c:numRef>
          </c:xVal>
          <c:yVal>
            <c:numRef>
              <c:f>DATA!$L$39:$L$44</c:f>
              <c:numCache>
                <c:formatCode>_ * #,##0.00_ ;_ * \-#,##0.00_ ;_ * "-"??_ ;_ @_ </c:formatCode>
                <c:ptCount val="6"/>
                <c:pt idx="0">
                  <c:v>28.925442435894269</c:v>
                </c:pt>
                <c:pt idx="1">
                  <c:v>-10.565042209489638</c:v>
                </c:pt>
                <c:pt idx="2">
                  <c:v>-21.298440156493239</c:v>
                </c:pt>
                <c:pt idx="3">
                  <c:v>-20.982742012859553</c:v>
                </c:pt>
                <c:pt idx="4">
                  <c:v>-10.557187421832184</c:v>
                </c:pt>
                <c:pt idx="5">
                  <c:v>28.925442435894265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56-449E-A18F-7C3BB5055266}"/>
            </c:ext>
          </c:extLst>
        </c:ser>
        <c:ser>
          <c:idx val="3"/>
          <c:order val="3"/>
          <c:tx>
            <c:v>New Pivot Points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DATA!$K$12:$K$18</c:f>
              <c:numCache>
                <c:formatCode>General</c:formatCode>
                <c:ptCount val="7"/>
                <c:pt idx="0">
                  <c:v>23.859921305611259</c:v>
                </c:pt>
                <c:pt idx="1">
                  <c:v>31.845233680762703</c:v>
                </c:pt>
                <c:pt idx="2">
                  <c:v>11.241567680055503</c:v>
                </c:pt>
                <c:pt idx="3">
                  <c:v>-4.2852098624445034</c:v>
                </c:pt>
                <c:pt idx="4">
                  <c:v>-26.101488985666762</c:v>
                </c:pt>
                <c:pt idx="5">
                  <c:v>-18.5600238183182</c:v>
                </c:pt>
                <c:pt idx="6">
                  <c:v>23.859921305611259</c:v>
                </c:pt>
              </c:numCache>
            </c:numRef>
          </c:xVal>
          <c:yVal>
            <c:numRef>
              <c:f>DATA!$L$12:$L$18</c:f>
              <c:numCache>
                <c:formatCode>General</c:formatCode>
                <c:ptCount val="7"/>
                <c:pt idx="0">
                  <c:v>19.424644493484287</c:v>
                </c:pt>
                <c:pt idx="1">
                  <c:v>6.8461601960760055</c:v>
                </c:pt>
                <c:pt idx="2">
                  <c:v>-28.259340883040355</c:v>
                </c:pt>
                <c:pt idx="3">
                  <c:v>-28.53036179317068</c:v>
                </c:pt>
                <c:pt idx="4">
                  <c:v>5.8346963895560622</c:v>
                </c:pt>
                <c:pt idx="5">
                  <c:v>18.68420159709467</c:v>
                </c:pt>
                <c:pt idx="6">
                  <c:v>19.424644493484287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56-449E-A18F-7C3BB5055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10048"/>
        <c:axId val="69811584"/>
      </c:scatterChart>
      <c:valAx>
        <c:axId val="69810048"/>
        <c:scaling>
          <c:orientation val="minMax"/>
          <c:max val="85"/>
          <c:min val="-85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de-DE"/>
          </a:p>
        </c:txPr>
        <c:crossAx val="69811584"/>
        <c:crosses val="autoZero"/>
        <c:crossBetween val="midCat"/>
      </c:valAx>
      <c:valAx>
        <c:axId val="69811584"/>
        <c:scaling>
          <c:orientation val="minMax"/>
          <c:max val="85"/>
          <c:min val="-85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de-DE"/>
          </a:p>
        </c:txPr>
        <c:crossAx val="69810048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{E1A32C34-D219-4E97-BBC7-078135D0A210}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B67-4DA2-9B45-0C65E522B844}"/>
                </c:ext>
              </c:extLst>
            </c:dLbl>
            <c:dLbl>
              <c:idx val="1"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{039E8532-F7E8-4BE7-B403-8E66A3A13338}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B67-4DA2-9B45-0C65E522B844}"/>
                </c:ext>
              </c:extLst>
            </c:dLbl>
            <c:dLbl>
              <c:idx val="2"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{B19F5D42-F1A9-4356-A6C9-45855A15E219}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B67-4DA2-9B45-0C65E522B844}"/>
                </c:ext>
              </c:extLst>
            </c:dLbl>
            <c:dLbl>
              <c:idx val="3"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{D5CD424D-9942-4897-B735-AB1F370DCC85}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B67-4DA2-9B45-0C65E522B844}"/>
                </c:ext>
              </c:extLst>
            </c:dLbl>
            <c:dLbl>
              <c:idx val="4"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{D751E6DC-8530-4302-9098-980BE89FAA90}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B67-4DA2-9B45-0C65E522B844}"/>
                </c:ext>
              </c:extLst>
            </c:dLbl>
            <c:dLbl>
              <c:idx val="5"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{200A164F-2410-472A-A2ED-6A19897C6D18}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B67-4DA2-9B45-0C65E522B844}"/>
                </c:ext>
              </c:extLst>
            </c:dLbl>
            <c:dLbl>
              <c:idx val="6"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{7D4F8F67-4810-430F-B33F-7AFB0F5390E0}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B67-4DA2-9B45-0C65E522B844}"/>
                </c:ext>
              </c:extLst>
            </c:dLbl>
            <c:dLbl>
              <c:idx val="7"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{897E6343-771B-4B62-A6F1-87B502614C6A}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B67-4DA2-9B45-0C65E522B844}"/>
                </c:ext>
              </c:extLst>
            </c:dLbl>
            <c:dLbl>
              <c:idx val="8"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{223BE604-79B5-461E-A603-CDEE423079A9}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B67-4DA2-9B45-0C65E522B844}"/>
                </c:ext>
              </c:extLst>
            </c:dLbl>
            <c:dLbl>
              <c:idx val="9"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{454A0C4F-8D18-48B2-9907-53312BF5A2C8}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B67-4DA2-9B45-0C65E522B844}"/>
                </c:ext>
              </c:extLst>
            </c:dLbl>
            <c:dLbl>
              <c:idx val="10"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{51AEFF41-BEA2-4EA4-87C6-6AE6CFD97F70}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B67-4DA2-9B45-0C65E522B844}"/>
                </c:ext>
              </c:extLst>
            </c:dLbl>
            <c:dLbl>
              <c:idx val="11"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{E834FB33-F20E-4678-AC64-436DFF43BA67}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B67-4DA2-9B45-0C65E522B84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20.124381369905613</c:v>
                </c:pt>
                <c:pt idx="1">
                  <c:v>30.172609783236133</c:v>
                </c:pt>
                <c:pt idx="2">
                  <c:v>15.97796605373866</c:v>
                </c:pt>
                <c:pt idx="3">
                  <c:v>0.73413743774257867</c:v>
                </c:pt>
                <c:pt idx="4">
                  <c:v>-26.718133113533607</c:v>
                </c:pt>
                <c:pt idx="5">
                  <c:v>-21.522532910868048</c:v>
                </c:pt>
                <c:pt idx="6">
                  <c:v>28.925442435894272</c:v>
                </c:pt>
                <c:pt idx="7">
                  <c:v>38.97114317029974</c:v>
                </c:pt>
                <c:pt idx="8">
                  <c:v>15.390906449655095</c:v>
                </c:pt>
                <c:pt idx="9">
                  <c:v>-3.5527136788005009E-15</c:v>
                </c:pt>
                <c:pt idx="10">
                  <c:v>-44.31634888554936</c:v>
                </c:pt>
                <c:pt idx="11">
                  <c:v>-38.97114317029974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132.67609483220468</c:v>
                </c:pt>
                <c:pt idx="1">
                  <c:v>123.133450339657</c:v>
                </c:pt>
                <c:pt idx="2">
                  <c:v>92.77258409249734</c:v>
                </c:pt>
                <c:pt idx="3">
                  <c:v>91.202380257683075</c:v>
                </c:pt>
                <c:pt idx="4">
                  <c:v>117.27336984989067</c:v>
                </c:pt>
                <c:pt idx="5">
                  <c:v>128.3862181772526</c:v>
                </c:pt>
                <c:pt idx="6">
                  <c:v>18.267376845039472</c:v>
                </c:pt>
                <c:pt idx="7">
                  <c:v>11.923183445247103</c:v>
                </c:pt>
                <c:pt idx="8">
                  <c:v>-22.408254999550817</c:v>
                </c:pt>
                <c:pt idx="9">
                  <c:v>-23.846366890494213</c:v>
                </c:pt>
                <c:pt idx="10">
                  <c:v>4.1408781545113431</c:v>
                </c:pt>
                <c:pt idx="11">
                  <c:v>11.923183445247105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B67-4DA2-9B45-0C65E522B844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B67-4DA2-9B45-0C65E522B844}"/>
                </c:ext>
              </c:extLst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B67-4DA2-9B45-0C65E522B8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B67-4DA2-9B45-0C65E522B844}"/>
                </c:ext>
              </c:extLst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B67-4DA2-9B45-0C65E522B844}"/>
                </c:ext>
              </c:extLst>
            </c:dLbl>
            <c:dLbl>
              <c:idx val="6"/>
              <c:layout>
                <c:manualLayout>
                  <c:x val="0"/>
                  <c:y val="4.48826833483322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B67-4DA2-9B45-0C65E522B844}"/>
                </c:ext>
              </c:extLst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B67-4DA2-9B45-0C65E522B8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-107.34404507833068</c:v>
                </c:pt>
                <c:pt idx="1">
                  <c:v>107.34404507833068</c:v>
                </c:pt>
                <c:pt idx="2">
                  <c:v>0</c:v>
                </c:pt>
                <c:pt idx="3">
                  <c:v>18.927651365695407</c:v>
                </c:pt>
                <c:pt idx="4">
                  <c:v>-18.927651365695407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-10.030127085371921</c:v>
                </c:pt>
                <c:pt idx="1">
                  <c:v>10.030127085371921</c:v>
                </c:pt>
                <c:pt idx="2">
                  <c:v>0</c:v>
                </c:pt>
                <c:pt idx="3">
                  <c:v>-56.883677387724951</c:v>
                </c:pt>
                <c:pt idx="4">
                  <c:v>56.883677387724951</c:v>
                </c:pt>
                <c:pt idx="5">
                  <c:v>0</c:v>
                </c:pt>
                <c:pt idx="6">
                  <c:v>-92.437242481050447</c:v>
                </c:pt>
                <c:pt idx="7">
                  <c:v>92.437242481050447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67-4DA2-9B45-0C65E522B844}"/>
            </c:ext>
          </c:extLst>
        </c:ser>
        <c:ser>
          <c:idx val="2"/>
          <c:order val="2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-88.416393712635269</c:v>
                </c:pt>
                <c:pt idx="1">
                  <c:v>126.27169644402609</c:v>
                </c:pt>
                <c:pt idx="2">
                  <c:v>88.416393712635269</c:v>
                </c:pt>
                <c:pt idx="3">
                  <c:v>-126.27169644402609</c:v>
                </c:pt>
                <c:pt idx="4">
                  <c:v>-88.416393712635269</c:v>
                </c:pt>
                <c:pt idx="5">
                  <c:v>-88.416393712635269</c:v>
                </c:pt>
                <c:pt idx="6">
                  <c:v>126.27169644402609</c:v>
                </c:pt>
                <c:pt idx="7">
                  <c:v>88.416393712635269</c:v>
                </c:pt>
                <c:pt idx="8">
                  <c:v>-126.27169644402609</c:v>
                </c:pt>
                <c:pt idx="9">
                  <c:v>-88.416393712635269</c:v>
                </c:pt>
                <c:pt idx="11">
                  <c:v>-126.27169644402609</c:v>
                </c:pt>
                <c:pt idx="12">
                  <c:v>-126.27169644402609</c:v>
                </c:pt>
                <c:pt idx="14">
                  <c:v>88.416393712635269</c:v>
                </c:pt>
                <c:pt idx="15">
                  <c:v>88.416393712635269</c:v>
                </c:pt>
                <c:pt idx="17">
                  <c:v>126.27169644402609</c:v>
                </c:pt>
                <c:pt idx="18">
                  <c:v>126.27169644402609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-159.35104695414731</c:v>
                </c:pt>
                <c:pt idx="1">
                  <c:v>-139.29079278340348</c:v>
                </c:pt>
                <c:pt idx="2">
                  <c:v>-25.523438007953573</c:v>
                </c:pt>
                <c:pt idx="3">
                  <c:v>-45.583692178697419</c:v>
                </c:pt>
                <c:pt idx="4">
                  <c:v>-159.35104695414731</c:v>
                </c:pt>
                <c:pt idx="5">
                  <c:v>25.523438007953573</c:v>
                </c:pt>
                <c:pt idx="6">
                  <c:v>45.583692178697419</c:v>
                </c:pt>
                <c:pt idx="7">
                  <c:v>159.35104695414731</c:v>
                </c:pt>
                <c:pt idx="8">
                  <c:v>139.29079278340348</c:v>
                </c:pt>
                <c:pt idx="9">
                  <c:v>25.523438007953573</c:v>
                </c:pt>
                <c:pt idx="11">
                  <c:v>139.29079278340348</c:v>
                </c:pt>
                <c:pt idx="12">
                  <c:v>-45.583692178697419</c:v>
                </c:pt>
                <c:pt idx="14">
                  <c:v>-25.523438007953573</c:v>
                </c:pt>
                <c:pt idx="15">
                  <c:v>159.35104695414731</c:v>
                </c:pt>
                <c:pt idx="17">
                  <c:v>45.583692178697419</c:v>
                </c:pt>
                <c:pt idx="18">
                  <c:v>-139.29079278340348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67-4DA2-9B45-0C65E522B844}"/>
            </c:ext>
          </c:extLst>
        </c:ser>
        <c:ser>
          <c:idx val="3"/>
          <c:order val="3"/>
          <c:tx>
            <c:v>line1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20.124381369905613</c:v>
                </c:pt>
                <c:pt idx="1">
                  <c:v>28.925442435894272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132.67609483220468</c:v>
                </c:pt>
                <c:pt idx="1">
                  <c:v>18.267376845039472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67-4DA2-9B45-0C65E522B844}"/>
            </c:ext>
          </c:extLst>
        </c:ser>
        <c:ser>
          <c:idx val="4"/>
          <c:order val="4"/>
          <c:tx>
            <c:v>line2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30.172609783236133</c:v>
                </c:pt>
                <c:pt idx="1">
                  <c:v>38.97114317029974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123.133450339657</c:v>
                </c:pt>
                <c:pt idx="1">
                  <c:v>11.923183445247103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67-4DA2-9B45-0C65E522B844}"/>
            </c:ext>
          </c:extLst>
        </c:ser>
        <c:ser>
          <c:idx val="5"/>
          <c:order val="5"/>
          <c:tx>
            <c:v>line3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15.97796605373866</c:v>
                </c:pt>
                <c:pt idx="1">
                  <c:v>15.390906449655095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92.77258409249734</c:v>
                </c:pt>
                <c:pt idx="1">
                  <c:v>-22.408254999550817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67-4DA2-9B45-0C65E522B844}"/>
            </c:ext>
          </c:extLst>
        </c:ser>
        <c:ser>
          <c:idx val="6"/>
          <c:order val="6"/>
          <c:tx>
            <c:v>line4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0.73413743774257867</c:v>
                </c:pt>
                <c:pt idx="1">
                  <c:v>-3.5527136788005009E-15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91.202380257683075</c:v>
                </c:pt>
                <c:pt idx="1">
                  <c:v>-23.846366890494213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67-4DA2-9B45-0C65E522B844}"/>
            </c:ext>
          </c:extLst>
        </c:ser>
        <c:ser>
          <c:idx val="7"/>
          <c:order val="7"/>
          <c:tx>
            <c:v>line5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-26.718133113533607</c:v>
                </c:pt>
                <c:pt idx="1">
                  <c:v>-44.31634888554936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117.27336984989067</c:v>
                </c:pt>
                <c:pt idx="1">
                  <c:v>4.1408781545113431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67-4DA2-9B45-0C65E522B844}"/>
            </c:ext>
          </c:extLst>
        </c:ser>
        <c:ser>
          <c:idx val="8"/>
          <c:order val="8"/>
          <c:tx>
            <c:v>line6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-21.522532910868048</c:v>
                </c:pt>
                <c:pt idx="1">
                  <c:v>-38.97114317029974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128.3862181772526</c:v>
                </c:pt>
                <c:pt idx="1">
                  <c:v>11.923183445247105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67-4DA2-9B45-0C65E522B844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28.925442435894272</c:v>
                </c:pt>
                <c:pt idx="1">
                  <c:v>-0.41099924428914747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18.267376845039472</c:v>
                </c:pt>
                <c:pt idx="1">
                  <c:v>18.538302331407245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67-4DA2-9B45-0C65E522B844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38.97114317029974</c:v>
                </c:pt>
                <c:pt idx="1">
                  <c:v>28.720338469004805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11.923183445247103</c:v>
                </c:pt>
                <c:pt idx="1">
                  <c:v>-4.1130422742918302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B67-4DA2-9B45-0C65E522B844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15.390906449655095</c:v>
                </c:pt>
                <c:pt idx="1">
                  <c:v>24.481388562727719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-22.408254999550817</c:v>
                </c:pt>
                <c:pt idx="1">
                  <c:v>-20.971826869989243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B67-4DA2-9B45-0C65E522B844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-3.5527136788005009E-15</c:v>
                </c:pt>
                <c:pt idx="1">
                  <c:v>-17.318837670950074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-23.846366890494213</c:v>
                </c:pt>
                <c:pt idx="1">
                  <c:v>-24.097302679325182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B67-4DA2-9B45-0C65E522B844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-44.31634888554936</c:v>
                </c:pt>
                <c:pt idx="1">
                  <c:v>-25.056967852742122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4.1408781545113431</c:v>
                </c:pt>
                <c:pt idx="1">
                  <c:v>-9.2974915479112781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B67-4DA2-9B45-0C65E522B844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-38.97114317029974</c:v>
                </c:pt>
                <c:pt idx="1">
                  <c:v>-9.5729339839117209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11.923183445247105</c:v>
                </c:pt>
                <c:pt idx="1">
                  <c:v>17.196479261076675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B67-4DA2-9B45-0C65E522B844}"/>
            </c:ext>
          </c:extLst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20.124381369905613</c:v>
                </c:pt>
                <c:pt idx="1">
                  <c:v>-0.41099924428914747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132.67609483220468</c:v>
                </c:pt>
                <c:pt idx="1">
                  <c:v>18.538302331407245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B67-4DA2-9B45-0C65E522B844}"/>
            </c:ext>
          </c:extLst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30.172609783236133</c:v>
                </c:pt>
                <c:pt idx="1">
                  <c:v>28.720338469004805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123.133450339657</c:v>
                </c:pt>
                <c:pt idx="1">
                  <c:v>-4.1130422742918302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B67-4DA2-9B45-0C65E522B844}"/>
            </c:ext>
          </c:extLst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15.97796605373866</c:v>
                </c:pt>
                <c:pt idx="1">
                  <c:v>24.481388562727719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92.77258409249734</c:v>
                </c:pt>
                <c:pt idx="1">
                  <c:v>-20.971826869989243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B67-4DA2-9B45-0C65E522B844}"/>
            </c:ext>
          </c:extLst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0.73413743774257867</c:v>
                </c:pt>
                <c:pt idx="1">
                  <c:v>-17.318837670950074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91.202380257683075</c:v>
                </c:pt>
                <c:pt idx="1">
                  <c:v>-24.097302679325182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B67-4DA2-9B45-0C65E522B844}"/>
            </c:ext>
          </c:extLst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-26.718133113533607</c:v>
                </c:pt>
                <c:pt idx="1">
                  <c:v>-25.056967852742122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117.27336984989067</c:v>
                </c:pt>
                <c:pt idx="1">
                  <c:v>-9.2974915479112781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B67-4DA2-9B45-0C65E522B844}"/>
            </c:ext>
          </c:extLst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-21.522532910868048</c:v>
                </c:pt>
                <c:pt idx="1">
                  <c:v>-9.5729339839117209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128.3862181772526</c:v>
                </c:pt>
                <c:pt idx="1">
                  <c:v>17.196479261076675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B67-4DA2-9B45-0C65E522B844}"/>
            </c:ext>
          </c:extLst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20.124381369905613</c:v>
                </c:pt>
                <c:pt idx="1">
                  <c:v>30.172609783236133</c:v>
                </c:pt>
                <c:pt idx="2">
                  <c:v>15.97796605373866</c:v>
                </c:pt>
                <c:pt idx="3">
                  <c:v>0.73413743774257867</c:v>
                </c:pt>
                <c:pt idx="4">
                  <c:v>-26.718133113533607</c:v>
                </c:pt>
                <c:pt idx="5">
                  <c:v>-21.522532910868048</c:v>
                </c:pt>
                <c:pt idx="6">
                  <c:v>20.124381369905613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132.67609483220468</c:v>
                </c:pt>
                <c:pt idx="1">
                  <c:v>123.133450339657</c:v>
                </c:pt>
                <c:pt idx="2">
                  <c:v>92.77258409249734</c:v>
                </c:pt>
                <c:pt idx="3">
                  <c:v>91.202380257683075</c:v>
                </c:pt>
                <c:pt idx="4">
                  <c:v>117.27336984989067</c:v>
                </c:pt>
                <c:pt idx="5">
                  <c:v>128.3862181772526</c:v>
                </c:pt>
                <c:pt idx="6">
                  <c:v>132.67609483220468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B67-4DA2-9B45-0C65E522B844}"/>
            </c:ext>
          </c:extLst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28.925442435894272</c:v>
                </c:pt>
                <c:pt idx="1">
                  <c:v>38.97114317029974</c:v>
                </c:pt>
                <c:pt idx="2">
                  <c:v>15.390906449655095</c:v>
                </c:pt>
                <c:pt idx="3">
                  <c:v>-3.5527136788005009E-15</c:v>
                </c:pt>
                <c:pt idx="4">
                  <c:v>-44.31634888554936</c:v>
                </c:pt>
                <c:pt idx="5">
                  <c:v>-38.97114317029974</c:v>
                </c:pt>
                <c:pt idx="6">
                  <c:v>28.925442435894272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18.267376845039472</c:v>
                </c:pt>
                <c:pt idx="1">
                  <c:v>11.923183445247103</c:v>
                </c:pt>
                <c:pt idx="2">
                  <c:v>-22.408254999550817</c:v>
                </c:pt>
                <c:pt idx="3">
                  <c:v>-23.846366890494213</c:v>
                </c:pt>
                <c:pt idx="4">
                  <c:v>4.1408781545113431</c:v>
                </c:pt>
                <c:pt idx="5">
                  <c:v>11.923183445247105</c:v>
                </c:pt>
                <c:pt idx="6">
                  <c:v>18.267376845039472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B67-4DA2-9B45-0C65E522B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29920"/>
        <c:axId val="70156288"/>
      </c:scatterChart>
      <c:valAx>
        <c:axId val="70129920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de-DE"/>
          </a:p>
        </c:txPr>
        <c:crossAx val="70156288"/>
        <c:crosses val="autoZero"/>
        <c:crossBetween val="midCat"/>
      </c:valAx>
      <c:valAx>
        <c:axId val="70156288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de-DE"/>
          </a:p>
        </c:txPr>
        <c:crossAx val="701299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467"/>
          <c:y val="0.34552336921187687"/>
          <c:w val="0.52271175120473767"/>
          <c:h val="0.609687495485083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6.7993815968044924</c:v>
                </c:pt>
                <c:pt idx="1">
                  <c:v>-2.5043202917678262</c:v>
                </c:pt>
                <c:pt idx="2">
                  <c:v>-27.630142876691803</c:v>
                </c:pt>
                <c:pt idx="3">
                  <c:v>-26.08913995277765</c:v>
                </c:pt>
                <c:pt idx="4">
                  <c:v>-2.873558789858508</c:v>
                </c:pt>
                <c:pt idx="5">
                  <c:v>5.6989066885422908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6E-4F04-8590-043E7358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162304"/>
        <c:axId val="70163840"/>
      </c:barChart>
      <c:catAx>
        <c:axId val="7016230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de-DE"/>
          </a:p>
        </c:txPr>
        <c:crossAx val="70163840"/>
        <c:crosses val="autoZero"/>
        <c:auto val="1"/>
        <c:lblAlgn val="ctr"/>
        <c:lblOffset val="40"/>
        <c:noMultiLvlLbl val="0"/>
      </c:catAx>
      <c:valAx>
        <c:axId val="70163840"/>
        <c:scaling>
          <c:orientation val="minMax"/>
          <c:max val="65"/>
          <c:min val="-50"/>
        </c:scaling>
        <c:delete val="0"/>
        <c:axPos val="l"/>
        <c:majorGridlines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de-DE"/>
          </a:p>
        </c:txPr>
        <c:crossAx val="701623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1</xdr:row>
      <xdr:rowOff>57151</xdr:rowOff>
    </xdr:from>
    <xdr:to>
      <xdr:col>5</xdr:col>
      <xdr:colOff>3276600</xdr:colOff>
      <xdr:row>35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</xdr:row>
          <xdr:rowOff>6350</xdr:rowOff>
        </xdr:from>
        <xdr:to>
          <xdr:col>10</xdr:col>
          <xdr:colOff>88900</xdr:colOff>
          <xdr:row>5</xdr:row>
          <xdr:rowOff>6350</xdr:rowOff>
        </xdr:to>
        <xdr:sp macro="" textlink="">
          <xdr:nvSpPr>
            <xdr:cNvPr id="3073" name="ScrollBar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5</xdr:row>
          <xdr:rowOff>6350</xdr:rowOff>
        </xdr:from>
        <xdr:to>
          <xdr:col>10</xdr:col>
          <xdr:colOff>88900</xdr:colOff>
          <xdr:row>6</xdr:row>
          <xdr:rowOff>6350</xdr:rowOff>
        </xdr:to>
        <xdr:sp macro="" textlink="">
          <xdr:nvSpPr>
            <xdr:cNvPr id="3074" name="ScrollBar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6</xdr:row>
          <xdr:rowOff>6350</xdr:rowOff>
        </xdr:from>
        <xdr:to>
          <xdr:col>10</xdr:col>
          <xdr:colOff>88900</xdr:colOff>
          <xdr:row>7</xdr:row>
          <xdr:rowOff>6350</xdr:rowOff>
        </xdr:to>
        <xdr:sp macro="" textlink="">
          <xdr:nvSpPr>
            <xdr:cNvPr id="3075" name="ScrollBar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7</xdr:row>
          <xdr:rowOff>6350</xdr:rowOff>
        </xdr:from>
        <xdr:to>
          <xdr:col>10</xdr:col>
          <xdr:colOff>88900</xdr:colOff>
          <xdr:row>8</xdr:row>
          <xdr:rowOff>6350</xdr:rowOff>
        </xdr:to>
        <xdr:sp macro="" textlink="">
          <xdr:nvSpPr>
            <xdr:cNvPr id="3076" name="ScrollBar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447862</xdr:colOff>
          <xdr:row>13</xdr:row>
          <xdr:rowOff>1494</xdr:rowOff>
        </xdr:from>
        <xdr:to>
          <xdr:col>6</xdr:col>
          <xdr:colOff>651062</xdr:colOff>
          <xdr:row>30</xdr:row>
          <xdr:rowOff>26894</xdr:rowOff>
        </xdr:to>
        <xdr:sp macro="" textlink="">
          <xdr:nvSpPr>
            <xdr:cNvPr id="3077" name="ScrollBar7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13</xdr:row>
          <xdr:rowOff>76200</xdr:rowOff>
        </xdr:from>
        <xdr:to>
          <xdr:col>7</xdr:col>
          <xdr:colOff>393700</xdr:colOff>
          <xdr:row>30</xdr:row>
          <xdr:rowOff>101600</xdr:rowOff>
        </xdr:to>
        <xdr:sp macro="" textlink="">
          <xdr:nvSpPr>
            <xdr:cNvPr id="3078" name="ScrollBar8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13</xdr:row>
          <xdr:rowOff>76200</xdr:rowOff>
        </xdr:from>
        <xdr:to>
          <xdr:col>8</xdr:col>
          <xdr:colOff>374650</xdr:colOff>
          <xdr:row>30</xdr:row>
          <xdr:rowOff>101600</xdr:rowOff>
        </xdr:to>
        <xdr:sp macro="" textlink="">
          <xdr:nvSpPr>
            <xdr:cNvPr id="3079" name="ScrollBar9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184150</xdr:colOff>
          <xdr:row>13</xdr:row>
          <xdr:rowOff>76200</xdr:rowOff>
        </xdr:from>
        <xdr:to>
          <xdr:col>9</xdr:col>
          <xdr:colOff>387350</xdr:colOff>
          <xdr:row>30</xdr:row>
          <xdr:rowOff>101600</xdr:rowOff>
        </xdr:to>
        <xdr:sp macro="" textlink="">
          <xdr:nvSpPr>
            <xdr:cNvPr id="3080" name="ScrollBar10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165100</xdr:colOff>
          <xdr:row>13</xdr:row>
          <xdr:rowOff>76200</xdr:rowOff>
        </xdr:from>
        <xdr:to>
          <xdr:col>10</xdr:col>
          <xdr:colOff>368300</xdr:colOff>
          <xdr:row>30</xdr:row>
          <xdr:rowOff>101600</xdr:rowOff>
        </xdr:to>
        <xdr:sp macro="" textlink="">
          <xdr:nvSpPr>
            <xdr:cNvPr id="3081" name="ScrollBar5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165100</xdr:colOff>
          <xdr:row>13</xdr:row>
          <xdr:rowOff>69850</xdr:rowOff>
        </xdr:from>
        <xdr:to>
          <xdr:col>11</xdr:col>
          <xdr:colOff>368300</xdr:colOff>
          <xdr:row>30</xdr:row>
          <xdr:rowOff>95250</xdr:rowOff>
        </xdr:to>
        <xdr:sp macro="" textlink="">
          <xdr:nvSpPr>
            <xdr:cNvPr id="3082" name="ScrollBar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17</xdr:row>
          <xdr:rowOff>63500</xdr:rowOff>
        </xdr:from>
        <xdr:to>
          <xdr:col>13</xdr:col>
          <xdr:colOff>361950</xdr:colOff>
          <xdr:row>19</xdr:row>
          <xdr:rowOff>88900</xdr:rowOff>
        </xdr:to>
        <xdr:sp macro="" textlink="">
          <xdr:nvSpPr>
            <xdr:cNvPr id="3083" name="Schaltfläche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taPlusLF"/>
                </a:rPr>
                <a:t>SetZ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17</xdr:row>
          <xdr:rowOff>69850</xdr:rowOff>
        </xdr:from>
        <xdr:to>
          <xdr:col>14</xdr:col>
          <xdr:colOff>361950</xdr:colOff>
          <xdr:row>19</xdr:row>
          <xdr:rowOff>95250</xdr:rowOff>
        </xdr:to>
        <xdr:sp macro="" textlink="">
          <xdr:nvSpPr>
            <xdr:cNvPr id="3084" name="Schaltfläche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taPlusLF"/>
                </a:rPr>
                <a:t>SetX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88900</xdr:colOff>
          <xdr:row>17</xdr:row>
          <xdr:rowOff>69850</xdr:rowOff>
        </xdr:from>
        <xdr:to>
          <xdr:col>15</xdr:col>
          <xdr:colOff>381000</xdr:colOff>
          <xdr:row>19</xdr:row>
          <xdr:rowOff>95250</xdr:rowOff>
        </xdr:to>
        <xdr:sp macro="" textlink="">
          <xdr:nvSpPr>
            <xdr:cNvPr id="3085" name="Schaltfläche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taPlusLF"/>
                </a:rPr>
                <a:t>SetY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17</xdr:row>
          <xdr:rowOff>76200</xdr:rowOff>
        </xdr:from>
        <xdr:to>
          <xdr:col>16</xdr:col>
          <xdr:colOff>361950</xdr:colOff>
          <xdr:row>19</xdr:row>
          <xdr:rowOff>101600</xdr:rowOff>
        </xdr:to>
        <xdr:sp macro="" textlink="">
          <xdr:nvSpPr>
            <xdr:cNvPr id="3086" name="Schaltfläche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taPlusLF"/>
                </a:rPr>
                <a:t>SetISO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31</xdr:row>
          <xdr:rowOff>76200</xdr:rowOff>
        </xdr:from>
        <xdr:to>
          <xdr:col>8</xdr:col>
          <xdr:colOff>76200</xdr:colOff>
          <xdr:row>34</xdr:row>
          <xdr:rowOff>25400</xdr:rowOff>
        </xdr:to>
        <xdr:sp macro="" textlink="">
          <xdr:nvSpPr>
            <xdr:cNvPr id="3087" name="Schaltfläche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taPlusLF"/>
                </a:rPr>
                <a:t>Home Platform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47113</xdr:colOff>
      <xdr:row>26</xdr:row>
      <xdr:rowOff>52668</xdr:rowOff>
    </xdr:from>
    <xdr:to>
      <xdr:col>16</xdr:col>
      <xdr:colOff>714375</xdr:colOff>
      <xdr:row>51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238628</xdr:colOff>
      <xdr:row>0</xdr:row>
      <xdr:rowOff>90263</xdr:rowOff>
    </xdr:from>
    <xdr:to>
      <xdr:col>30</xdr:col>
      <xdr:colOff>354135</xdr:colOff>
      <xdr:row>22</xdr:row>
      <xdr:rowOff>16049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244231</xdr:colOff>
      <xdr:row>24</xdr:row>
      <xdr:rowOff>48847</xdr:rowOff>
    </xdr:from>
    <xdr:to>
      <xdr:col>30</xdr:col>
      <xdr:colOff>354135</xdr:colOff>
      <xdr:row>34</xdr:row>
      <xdr:rowOff>155087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32</xdr:row>
          <xdr:rowOff>38100</xdr:rowOff>
        </xdr:from>
        <xdr:to>
          <xdr:col>17</xdr:col>
          <xdr:colOff>336550</xdr:colOff>
          <xdr:row>50</xdr:row>
          <xdr:rowOff>0</xdr:rowOff>
        </xdr:to>
        <xdr:sp macro="" textlink="">
          <xdr:nvSpPr>
            <xdr:cNvPr id="1028" name="PE_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139700</xdr:colOff>
          <xdr:row>32</xdr:row>
          <xdr:rowOff>38100</xdr:rowOff>
        </xdr:from>
        <xdr:to>
          <xdr:col>18</xdr:col>
          <xdr:colOff>342900</xdr:colOff>
          <xdr:row>50</xdr:row>
          <xdr:rowOff>0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120650</xdr:colOff>
          <xdr:row>32</xdr:row>
          <xdr:rowOff>38100</xdr:rowOff>
        </xdr:from>
        <xdr:to>
          <xdr:col>19</xdr:col>
          <xdr:colOff>323850</xdr:colOff>
          <xdr:row>50</xdr:row>
          <xdr:rowOff>0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32</xdr:row>
          <xdr:rowOff>38100</xdr:rowOff>
        </xdr:from>
        <xdr:to>
          <xdr:col>20</xdr:col>
          <xdr:colOff>336550</xdr:colOff>
          <xdr:row>50</xdr:row>
          <xdr:rowOff>0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32</xdr:row>
          <xdr:rowOff>38100</xdr:rowOff>
        </xdr:from>
        <xdr:to>
          <xdr:col>21</xdr:col>
          <xdr:colOff>317500</xdr:colOff>
          <xdr:row>50</xdr:row>
          <xdr:rowOff>0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32</xdr:row>
          <xdr:rowOff>31750</xdr:rowOff>
        </xdr:from>
        <xdr:to>
          <xdr:col>22</xdr:col>
          <xdr:colOff>317500</xdr:colOff>
          <xdr:row>49</xdr:row>
          <xdr:rowOff>101600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trlProp" Target="../ctrlProps/ctrlProp5.xml"/><Relationship Id="rId1" Type="http://schemas.openxmlformats.org/officeDocument/2006/relationships/hyperlink" Target="mailto:dmwaters1982@gmail.com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ctrlProp" Target="../ctrlProps/ctrlProp4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3.emf"/><Relationship Id="rId5" Type="http://schemas.openxmlformats.org/officeDocument/2006/relationships/image" Target="../media/image6.emf"/><Relationship Id="rId15" Type="http://schemas.openxmlformats.org/officeDocument/2006/relationships/image" Target="../media/image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4.emf"/><Relationship Id="rId14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L119"/>
  <sheetViews>
    <sheetView tabSelected="1" zoomScale="85" zoomScaleNormal="85" workbookViewId="0">
      <selection activeCell="N16" sqref="N16"/>
    </sheetView>
  </sheetViews>
  <sheetFormatPr baseColWidth="10" defaultColWidth="9.1796875" defaultRowHeight="12.5"/>
  <cols>
    <col min="1" max="3" width="9.1796875" style="3"/>
    <col min="4" max="4" width="9.1796875" style="26"/>
    <col min="5" max="5" width="6.1796875" style="3" customWidth="1"/>
    <col min="6" max="6" width="59.54296875" style="3" customWidth="1"/>
    <col min="7" max="7" width="14.54296875" style="3" customWidth="1"/>
    <col min="8" max="50" width="9.1796875" style="3"/>
    <col min="51" max="51" width="16.453125" style="3" bestFit="1" customWidth="1"/>
    <col min="52" max="16384" width="9.1796875" style="3"/>
  </cols>
  <sheetData>
    <row r="1" spans="1:64">
      <c r="A1" s="3" t="s">
        <v>125</v>
      </c>
      <c r="M1" s="75" t="s">
        <v>126</v>
      </c>
      <c r="AY1" s="3" t="s">
        <v>44</v>
      </c>
      <c r="AZ1" s="3" t="s">
        <v>45</v>
      </c>
      <c r="BA1" s="3" t="s">
        <v>46</v>
      </c>
      <c r="BB1" s="3" t="s">
        <v>47</v>
      </c>
      <c r="BD1" s="3" t="s">
        <v>48</v>
      </c>
      <c r="BE1" s="3" t="s">
        <v>45</v>
      </c>
      <c r="BF1" s="3" t="s">
        <v>46</v>
      </c>
      <c r="BG1" s="4"/>
      <c r="BI1" s="3" t="s">
        <v>49</v>
      </c>
    </row>
    <row r="2" spans="1:64" ht="13.5" thickBot="1">
      <c r="G2" s="47" t="s">
        <v>115</v>
      </c>
      <c r="AY2" s="27" t="s">
        <v>66</v>
      </c>
      <c r="AZ2" s="5">
        <f>DATA!K12</f>
        <v>23.859921305611259</v>
      </c>
      <c r="BA2" s="6">
        <f>DATA!L12</f>
        <v>19.424644493484287</v>
      </c>
      <c r="BB2" s="7">
        <f>DATA!M12</f>
        <v>141.90634349265133</v>
      </c>
      <c r="BE2" s="5">
        <f t="shared" ref="BE2:BE7" si="0">(AZ2*_RMX1)+(BA2*_RMY1)+(BB2*_RMZ1)</f>
        <v>20.124381369905613</v>
      </c>
      <c r="BF2" s="7">
        <f t="shared" ref="BF2:BF7" si="1">(AZ2*_RMX2)+(BA2*_RMY2)+(BB2*_RMZ2)</f>
        <v>132.67609483220468</v>
      </c>
      <c r="BG2" s="4"/>
      <c r="BH2" s="4"/>
      <c r="BI2" s="8">
        <f>SIN(RADIANS(XROTATE))</f>
        <v>-0.84804809615642618</v>
      </c>
      <c r="BJ2" s="9">
        <f>SIN(RADIANS(YROTATE))</f>
        <v>0</v>
      </c>
      <c r="BK2" s="10">
        <f>SIN(RADIANS(ZROTATE))</f>
        <v>0.17364817766693033</v>
      </c>
      <c r="BL2" s="3" t="s">
        <v>50</v>
      </c>
    </row>
    <row r="3" spans="1:64">
      <c r="G3" s="5" t="s">
        <v>53</v>
      </c>
      <c r="H3" s="6"/>
      <c r="I3" s="6"/>
      <c r="J3" s="6"/>
      <c r="K3" s="7"/>
      <c r="M3" s="42" t="s">
        <v>114</v>
      </c>
      <c r="N3" s="43"/>
      <c r="AY3" s="28" t="s">
        <v>67</v>
      </c>
      <c r="AZ3" s="11">
        <f>DATA!K13</f>
        <v>31.845233680762703</v>
      </c>
      <c r="BA3" s="12">
        <f>DATA!L13</f>
        <v>6.8461601960760055</v>
      </c>
      <c r="BB3" s="13">
        <f>DATA!M13</f>
        <v>137.52789716557174</v>
      </c>
      <c r="BE3" s="11">
        <f t="shared" si="0"/>
        <v>30.172609783236133</v>
      </c>
      <c r="BF3" s="13">
        <f t="shared" si="1"/>
        <v>123.133450339657</v>
      </c>
      <c r="BG3" s="4"/>
      <c r="BI3" s="14">
        <f>COS(RADIANS(XROTATE))</f>
        <v>0.52991926423320468</v>
      </c>
      <c r="BJ3" s="15">
        <f>COS(RADIANS(YROTATE))</f>
        <v>1</v>
      </c>
      <c r="BK3" s="16">
        <f>COS(RADIANS(ZROTATE))</f>
        <v>0.98480775301220802</v>
      </c>
      <c r="BL3" s="3" t="s">
        <v>51</v>
      </c>
    </row>
    <row r="4" spans="1:64">
      <c r="G4" s="11"/>
      <c r="H4" s="12"/>
      <c r="I4" s="12"/>
      <c r="J4" s="12"/>
      <c r="K4" s="13"/>
      <c r="M4" s="44">
        <v>1</v>
      </c>
      <c r="N4" s="41" t="b">
        <f>ISERR(DATA!O50)</f>
        <v>0</v>
      </c>
      <c r="AY4" s="28" t="s">
        <v>68</v>
      </c>
      <c r="AZ4" s="11">
        <f>DATA!K14</f>
        <v>11.241567680055503</v>
      </c>
      <c r="BA4" s="12">
        <f>DATA!L14</f>
        <v>-28.259340883040355</v>
      </c>
      <c r="BB4" s="13">
        <f>DATA!M14</f>
        <v>125.56575934177691</v>
      </c>
      <c r="BE4" s="11">
        <f t="shared" si="0"/>
        <v>15.97796605373866</v>
      </c>
      <c r="BF4" s="13">
        <f t="shared" si="1"/>
        <v>92.77258409249734</v>
      </c>
      <c r="BG4" s="4"/>
    </row>
    <row r="5" spans="1:64">
      <c r="G5" s="11" t="s">
        <v>54</v>
      </c>
      <c r="H5" s="23">
        <v>302</v>
      </c>
      <c r="I5" s="12"/>
      <c r="J5" s="12"/>
      <c r="K5" s="13"/>
      <c r="M5" s="44">
        <v>2</v>
      </c>
      <c r="N5" s="41" t="b">
        <f>ISERR(DATA!O51)</f>
        <v>0</v>
      </c>
      <c r="AY5" s="28" t="s">
        <v>69</v>
      </c>
      <c r="AZ5" s="11">
        <f>DATA!K15</f>
        <v>-4.2852098624445034</v>
      </c>
      <c r="BA5" s="12">
        <f>DATA!L15</f>
        <v>-28.53036179317068</v>
      </c>
      <c r="BB5" s="13">
        <f>DATA!M15</f>
        <v>125.56575934177691</v>
      </c>
      <c r="BE5" s="11">
        <f t="shared" si="0"/>
        <v>0.73413743774257867</v>
      </c>
      <c r="BF5" s="13">
        <f t="shared" si="1"/>
        <v>91.202380257683075</v>
      </c>
      <c r="BG5" s="4"/>
      <c r="BI5" s="3" t="s">
        <v>52</v>
      </c>
    </row>
    <row r="6" spans="1:64">
      <c r="G6" s="11" t="s">
        <v>55</v>
      </c>
      <c r="H6" s="23">
        <v>0</v>
      </c>
      <c r="I6" s="12"/>
      <c r="J6" s="12"/>
      <c r="K6" s="13"/>
      <c r="M6" s="44">
        <v>3</v>
      </c>
      <c r="N6" s="41" t="b">
        <f>ISERR(DATA!O52)</f>
        <v>0</v>
      </c>
      <c r="AY6" s="28" t="s">
        <v>70</v>
      </c>
      <c r="AZ6" s="11">
        <f>DATA!K16</f>
        <v>-26.101488985666762</v>
      </c>
      <c r="BA6" s="12">
        <f>DATA!L16</f>
        <v>5.8346963895560622</v>
      </c>
      <c r="BB6" s="13">
        <f>DATA!M16</f>
        <v>137.52789716557174</v>
      </c>
      <c r="BE6" s="11">
        <f t="shared" si="0"/>
        <v>-26.718133113533607</v>
      </c>
      <c r="BF6" s="13">
        <f t="shared" si="1"/>
        <v>117.27336984989067</v>
      </c>
      <c r="BG6" s="4"/>
      <c r="BI6" s="8">
        <f>YCOS*ZCOS</f>
        <v>0.98480775301220802</v>
      </c>
      <c r="BJ6" s="9">
        <f>-ZSIN * YCOS</f>
        <v>-0.17364817766693033</v>
      </c>
      <c r="BK6" s="10">
        <f>YSIN</f>
        <v>0</v>
      </c>
    </row>
    <row r="7" spans="1:64">
      <c r="G7" s="11" t="s">
        <v>56</v>
      </c>
      <c r="H7" s="23">
        <v>10</v>
      </c>
      <c r="I7" s="12"/>
      <c r="J7" s="12"/>
      <c r="K7" s="13"/>
      <c r="M7" s="44">
        <v>4</v>
      </c>
      <c r="N7" s="41" t="b">
        <f>ISERR(DATA!O53)</f>
        <v>0</v>
      </c>
      <c r="AY7" s="28" t="s">
        <v>71</v>
      </c>
      <c r="AZ7" s="11">
        <f>DATA!K17</f>
        <v>-18.5600238183182</v>
      </c>
      <c r="BA7" s="12">
        <f>DATA!L17</f>
        <v>18.68420159709467</v>
      </c>
      <c r="BB7" s="13">
        <f>DATA!M17</f>
        <v>141.90634349265133</v>
      </c>
      <c r="BE7" s="11">
        <f t="shared" si="0"/>
        <v>-21.522532910868048</v>
      </c>
      <c r="BF7" s="13">
        <f t="shared" si="1"/>
        <v>128.3862181772526</v>
      </c>
      <c r="BG7" s="4"/>
      <c r="BI7" s="17">
        <f>ZCOS * -YSIN * -XSIN + ZSIN * XCOS</f>
        <v>9.2019514544696521E-2</v>
      </c>
      <c r="BJ7" s="18">
        <f>-ZSIN * -YSIN * -XSIN + ZCOS*XCOS</f>
        <v>0.52186859988738488</v>
      </c>
      <c r="BK7" s="19">
        <f>YCOS * -XSIN</f>
        <v>0.84804809615642618</v>
      </c>
    </row>
    <row r="8" spans="1:64">
      <c r="G8" s="11" t="s">
        <v>59</v>
      </c>
      <c r="H8" s="23">
        <v>109</v>
      </c>
      <c r="I8" s="12"/>
      <c r="J8" s="12"/>
      <c r="K8" s="13"/>
      <c r="M8" s="44">
        <v>5</v>
      </c>
      <c r="N8" s="41" t="b">
        <f>ISERR(DATA!O54)</f>
        <v>0</v>
      </c>
      <c r="AY8" s="28" t="s">
        <v>60</v>
      </c>
      <c r="AZ8" s="11">
        <f>DATA!K3</f>
        <v>34.47199994035401</v>
      </c>
      <c r="BA8" s="12">
        <f>DATA!L3</f>
        <v>28.925442435894265</v>
      </c>
      <c r="BB8" s="13">
        <f>DATA!M3</f>
        <v>0</v>
      </c>
      <c r="BE8" s="11">
        <f t="shared" ref="BE8:BE13" si="2">(AZ8*_RMX1)+(BA8*_RMY1)+(BB8*_RMZ1)</f>
        <v>28.925442435894272</v>
      </c>
      <c r="BF8" s="13">
        <f t="shared" ref="BF8:BF13" si="3">(AZ8*_RMX2)+(BA8*_RMY2)+(BB8*_RMZ2)</f>
        <v>18.267376845039472</v>
      </c>
      <c r="BG8" s="4"/>
      <c r="BI8" s="14">
        <f>ZCOS * -YSIN * XCOS + ZSIN * XSIN</f>
        <v>-0.14726200647147311</v>
      </c>
      <c r="BJ8" s="15">
        <f>-ZSIN * -YSIN * XCOS + ZCOS * XSIN</f>
        <v>-0.83516434002209095</v>
      </c>
      <c r="BK8" s="16">
        <f>YCOS * XCOS</f>
        <v>0.52991926423320468</v>
      </c>
    </row>
    <row r="9" spans="1:64">
      <c r="G9" s="11"/>
      <c r="H9" s="12"/>
      <c r="I9" s="12"/>
      <c r="J9" s="12"/>
      <c r="K9" s="13"/>
      <c r="M9" s="44">
        <v>6</v>
      </c>
      <c r="N9" s="41" t="b">
        <f>ISERR(DATA!O55)</f>
        <v>0</v>
      </c>
      <c r="AY9" s="28" t="s">
        <v>61</v>
      </c>
      <c r="AZ9" s="11">
        <f>DATA!K4</f>
        <v>42.286167935365881</v>
      </c>
      <c r="BA9" s="12">
        <f>DATA!L4</f>
        <v>15.390906449655089</v>
      </c>
      <c r="BB9" s="13">
        <f>DATA!M4</f>
        <v>0</v>
      </c>
      <c r="BE9" s="11">
        <f t="shared" si="2"/>
        <v>38.97114317029974</v>
      </c>
      <c r="BF9" s="13">
        <f t="shared" si="3"/>
        <v>11.923183445247103</v>
      </c>
      <c r="BG9" s="4"/>
    </row>
    <row r="10" spans="1:64" ht="13" thickBot="1">
      <c r="G10" s="20"/>
      <c r="H10" s="21"/>
      <c r="I10" s="21"/>
      <c r="J10" s="21"/>
      <c r="K10" s="22"/>
      <c r="M10" s="45"/>
      <c r="N10" s="46"/>
      <c r="AY10" s="28" t="s">
        <v>62</v>
      </c>
      <c r="AZ10" s="11">
        <f>DATA!K5</f>
        <v>7.8141679950118688</v>
      </c>
      <c r="BA10" s="12">
        <f>DATA!L5</f>
        <v>-44.31634888554936</v>
      </c>
      <c r="BB10" s="13">
        <f>DATA!M5</f>
        <v>0</v>
      </c>
      <c r="BE10" s="11">
        <f t="shared" si="2"/>
        <v>15.390906449655095</v>
      </c>
      <c r="BF10" s="13">
        <f t="shared" si="3"/>
        <v>-22.408254999550817</v>
      </c>
      <c r="BG10" s="4"/>
    </row>
    <row r="11" spans="1:64" ht="13" thickBot="1">
      <c r="AY11" s="28" t="s">
        <v>63</v>
      </c>
      <c r="AZ11" s="11">
        <f>DATA!K6</f>
        <v>-7.8141679950118688</v>
      </c>
      <c r="BA11" s="12">
        <f>DATA!L6</f>
        <v>-44.31634888554936</v>
      </c>
      <c r="BB11" s="13">
        <f>DATA!M6</f>
        <v>0</v>
      </c>
      <c r="BE11" s="11">
        <f t="shared" si="2"/>
        <v>-3.5527136788005009E-15</v>
      </c>
      <c r="BF11" s="13">
        <f t="shared" si="3"/>
        <v>-23.846366890494213</v>
      </c>
      <c r="BG11" s="4"/>
    </row>
    <row r="12" spans="1:64">
      <c r="G12" s="31" t="s">
        <v>18</v>
      </c>
      <c r="H12" s="32" t="s">
        <v>19</v>
      </c>
      <c r="I12" s="32" t="s">
        <v>20</v>
      </c>
      <c r="J12" s="32" t="s">
        <v>76</v>
      </c>
      <c r="K12" s="32" t="s">
        <v>77</v>
      </c>
      <c r="L12" s="33" t="s">
        <v>78</v>
      </c>
      <c r="M12" s="42"/>
      <c r="N12" s="51"/>
      <c r="O12" s="51"/>
      <c r="P12" s="51"/>
      <c r="Q12" s="43"/>
      <c r="AY12" s="28" t="s">
        <v>64</v>
      </c>
      <c r="AZ12" s="11">
        <f>DATA!K7</f>
        <v>-42.286167935365881</v>
      </c>
      <c r="BA12" s="12">
        <f>DATA!L7</f>
        <v>15.390906449655089</v>
      </c>
      <c r="BB12" s="13">
        <f>DATA!M7</f>
        <v>0</v>
      </c>
      <c r="BE12" s="11">
        <f t="shared" si="2"/>
        <v>-44.31634888554936</v>
      </c>
      <c r="BF12" s="13">
        <f t="shared" si="3"/>
        <v>4.1408781545113431</v>
      </c>
    </row>
    <row r="13" spans="1:64">
      <c r="G13" s="44">
        <f>DATA!R10</f>
        <v>3</v>
      </c>
      <c r="H13" s="12">
        <f>DATA!S10</f>
        <v>-1</v>
      </c>
      <c r="I13" s="12">
        <f>DATA!T10</f>
        <v>0</v>
      </c>
      <c r="J13" s="12">
        <f>DATA!U32-30</f>
        <v>19</v>
      </c>
      <c r="K13" s="12">
        <f>DATA!V32-30</f>
        <v>0</v>
      </c>
      <c r="L13" s="48">
        <f>DATA!W32-30</f>
        <v>1</v>
      </c>
      <c r="M13" s="44"/>
      <c r="N13" s="12"/>
      <c r="O13" s="12"/>
      <c r="P13" s="12"/>
      <c r="Q13" s="48"/>
      <c r="AY13" s="29" t="s">
        <v>65</v>
      </c>
      <c r="AZ13" s="20">
        <f>DATA!K8</f>
        <v>-34.47199994035401</v>
      </c>
      <c r="BA13" s="21">
        <f>DATA!L8</f>
        <v>28.925442435894265</v>
      </c>
      <c r="BB13" s="22">
        <f>DATA!M8</f>
        <v>0</v>
      </c>
      <c r="BE13" s="20">
        <f t="shared" si="2"/>
        <v>-38.97114317029974</v>
      </c>
      <c r="BF13" s="22">
        <f t="shared" si="3"/>
        <v>11.923183445247105</v>
      </c>
    </row>
    <row r="14" spans="1:64">
      <c r="G14" s="44"/>
      <c r="H14" s="12"/>
      <c r="I14" s="12"/>
      <c r="J14" s="12"/>
      <c r="K14" s="12"/>
      <c r="L14" s="48"/>
      <c r="M14" s="44"/>
      <c r="N14" s="12" t="s">
        <v>79</v>
      </c>
      <c r="O14" s="12" t="s">
        <v>80</v>
      </c>
      <c r="P14" s="12" t="s">
        <v>81</v>
      </c>
      <c r="Q14" s="48" t="s">
        <v>82</v>
      </c>
    </row>
    <row r="15" spans="1:64">
      <c r="G15" s="44"/>
      <c r="H15" s="12"/>
      <c r="I15" s="12"/>
      <c r="J15" s="12"/>
      <c r="K15" s="12"/>
      <c r="L15" s="48"/>
      <c r="M15" s="44" t="s">
        <v>18</v>
      </c>
      <c r="N15" s="12">
        <v>0</v>
      </c>
      <c r="O15" s="12">
        <v>90</v>
      </c>
      <c r="P15" s="12">
        <v>270</v>
      </c>
      <c r="Q15" s="48">
        <v>300</v>
      </c>
    </row>
    <row r="16" spans="1:64">
      <c r="G16" s="44"/>
      <c r="H16" s="12"/>
      <c r="I16" s="12"/>
      <c r="J16" s="12"/>
      <c r="K16" s="12"/>
      <c r="L16" s="48"/>
      <c r="M16" s="44" t="s">
        <v>19</v>
      </c>
      <c r="N16" s="12">
        <v>0</v>
      </c>
      <c r="O16" s="12">
        <v>180</v>
      </c>
      <c r="P16" s="12">
        <v>0</v>
      </c>
      <c r="Q16" s="48">
        <v>0</v>
      </c>
      <c r="AY16" s="5" t="s">
        <v>83</v>
      </c>
      <c r="AZ16" s="5">
        <f>AZ2</f>
        <v>23.859921305611259</v>
      </c>
      <c r="BA16" s="6">
        <f>BA2</f>
        <v>19.424644493484287</v>
      </c>
      <c r="BB16" s="7">
        <f>BB2</f>
        <v>141.90634349265133</v>
      </c>
      <c r="BE16" s="5">
        <f t="shared" ref="BE16:BE26" si="4">(AZ16*_RMX1)+(BA16*_RMY1)+(BB16*_RMZ1)</f>
        <v>20.124381369905613</v>
      </c>
      <c r="BF16" s="7">
        <f t="shared" ref="BF16:BF27" si="5">(AZ16*_RMX2)+(BA16*_RMY2)+(BB16*_RMZ2)</f>
        <v>132.67609483220468</v>
      </c>
    </row>
    <row r="17" spans="7:58" ht="15.75" customHeight="1">
      <c r="G17" s="44"/>
      <c r="H17" s="12"/>
      <c r="I17" s="12"/>
      <c r="J17" s="12"/>
      <c r="K17" s="12"/>
      <c r="L17" s="48"/>
      <c r="M17" s="44" t="s">
        <v>20</v>
      </c>
      <c r="N17" s="12">
        <v>0</v>
      </c>
      <c r="O17" s="12">
        <v>90</v>
      </c>
      <c r="P17" s="12">
        <v>0</v>
      </c>
      <c r="Q17" s="48">
        <v>10</v>
      </c>
      <c r="AY17" s="20"/>
      <c r="AZ17" s="20">
        <f>AZ8</f>
        <v>34.47199994035401</v>
      </c>
      <c r="BA17" s="21">
        <f>BA8</f>
        <v>28.925442435894265</v>
      </c>
      <c r="BB17" s="22">
        <f>BB8</f>
        <v>0</v>
      </c>
      <c r="BE17" s="20">
        <f t="shared" si="4"/>
        <v>28.925442435894272</v>
      </c>
      <c r="BF17" s="22">
        <f t="shared" si="5"/>
        <v>18.267376845039472</v>
      </c>
    </row>
    <row r="18" spans="7:58" ht="15.75" customHeight="1">
      <c r="G18" s="44"/>
      <c r="H18" s="12"/>
      <c r="I18" s="12"/>
      <c r="J18" s="12"/>
      <c r="K18" s="12"/>
      <c r="L18" s="48"/>
      <c r="M18" s="44"/>
      <c r="N18" s="12"/>
      <c r="O18" s="12"/>
      <c r="P18" s="12"/>
      <c r="Q18" s="48"/>
      <c r="AY18" s="5" t="s">
        <v>84</v>
      </c>
      <c r="AZ18" s="5">
        <f>AZ3</f>
        <v>31.845233680762703</v>
      </c>
      <c r="BA18" s="6">
        <f>BA3</f>
        <v>6.8461601960760055</v>
      </c>
      <c r="BB18" s="7">
        <f>BB3</f>
        <v>137.52789716557174</v>
      </c>
      <c r="BE18" s="5">
        <f t="shared" si="4"/>
        <v>30.172609783236133</v>
      </c>
      <c r="BF18" s="7">
        <f t="shared" si="5"/>
        <v>123.133450339657</v>
      </c>
    </row>
    <row r="19" spans="7:58" ht="15.75" customHeight="1">
      <c r="G19" s="44"/>
      <c r="H19" s="12"/>
      <c r="I19" s="12"/>
      <c r="J19" s="12"/>
      <c r="K19" s="12"/>
      <c r="L19" s="48"/>
      <c r="M19" s="44"/>
      <c r="N19" s="12"/>
      <c r="O19" s="12"/>
      <c r="P19" s="12"/>
      <c r="Q19" s="48"/>
      <c r="AY19" s="20"/>
      <c r="AZ19" s="20">
        <f>AZ9</f>
        <v>42.286167935365881</v>
      </c>
      <c r="BA19" s="21">
        <f>BA9</f>
        <v>15.390906449655089</v>
      </c>
      <c r="BB19" s="22">
        <f>BB9</f>
        <v>0</v>
      </c>
      <c r="BE19" s="20">
        <f t="shared" si="4"/>
        <v>38.97114317029974</v>
      </c>
      <c r="BF19" s="22">
        <f t="shared" si="5"/>
        <v>11.923183445247103</v>
      </c>
    </row>
    <row r="20" spans="7:58">
      <c r="G20" s="44"/>
      <c r="H20" s="12"/>
      <c r="I20" s="12"/>
      <c r="J20" s="12"/>
      <c r="K20" s="12"/>
      <c r="L20" s="48"/>
      <c r="M20" s="44"/>
      <c r="N20" s="12"/>
      <c r="O20" s="12"/>
      <c r="P20" s="12"/>
      <c r="Q20" s="48"/>
      <c r="AY20" s="5" t="s">
        <v>85</v>
      </c>
      <c r="AZ20" s="5">
        <f>AZ4</f>
        <v>11.241567680055503</v>
      </c>
      <c r="BA20" s="6">
        <f>BA4</f>
        <v>-28.259340883040355</v>
      </c>
      <c r="BB20" s="7">
        <f>BB4</f>
        <v>125.56575934177691</v>
      </c>
      <c r="BE20" s="5">
        <f t="shared" si="4"/>
        <v>15.97796605373866</v>
      </c>
      <c r="BF20" s="7">
        <f t="shared" si="5"/>
        <v>92.77258409249734</v>
      </c>
    </row>
    <row r="21" spans="7:58">
      <c r="G21" s="44"/>
      <c r="H21" s="12"/>
      <c r="I21" s="12"/>
      <c r="J21" s="12"/>
      <c r="K21" s="12"/>
      <c r="L21" s="48"/>
      <c r="M21" s="44"/>
      <c r="N21" s="12"/>
      <c r="O21" s="12"/>
      <c r="P21" s="12"/>
      <c r="Q21" s="48"/>
      <c r="AY21" s="20"/>
      <c r="AZ21" s="20">
        <f>AZ10</f>
        <v>7.8141679950118688</v>
      </c>
      <c r="BA21" s="21">
        <f>BA10</f>
        <v>-44.31634888554936</v>
      </c>
      <c r="BB21" s="22">
        <f>BB10</f>
        <v>0</v>
      </c>
      <c r="BE21" s="20">
        <f t="shared" si="4"/>
        <v>15.390906449655095</v>
      </c>
      <c r="BF21" s="22">
        <f t="shared" si="5"/>
        <v>-22.408254999550817</v>
      </c>
    </row>
    <row r="22" spans="7:58">
      <c r="G22" s="44"/>
      <c r="H22" s="12"/>
      <c r="I22" s="12"/>
      <c r="J22" s="12"/>
      <c r="K22" s="12"/>
      <c r="L22" s="48"/>
      <c r="M22" s="44"/>
      <c r="N22" s="12"/>
      <c r="O22" s="12"/>
      <c r="P22" s="12"/>
      <c r="Q22" s="48"/>
      <c r="AY22" s="5" t="s">
        <v>86</v>
      </c>
      <c r="AZ22" s="5">
        <f>AZ5</f>
        <v>-4.2852098624445034</v>
      </c>
      <c r="BA22" s="6">
        <f>BA5</f>
        <v>-28.53036179317068</v>
      </c>
      <c r="BB22" s="7">
        <f>BB5</f>
        <v>125.56575934177691</v>
      </c>
      <c r="BE22" s="5">
        <f t="shared" si="4"/>
        <v>0.73413743774257867</v>
      </c>
      <c r="BF22" s="7">
        <f t="shared" si="5"/>
        <v>91.202380257683075</v>
      </c>
    </row>
    <row r="23" spans="7:58">
      <c r="G23" s="44"/>
      <c r="H23" s="12"/>
      <c r="I23" s="12"/>
      <c r="J23" s="12"/>
      <c r="K23" s="12"/>
      <c r="L23" s="48"/>
      <c r="M23" s="44"/>
      <c r="N23" s="12"/>
      <c r="O23" s="12"/>
      <c r="P23" s="12"/>
      <c r="Q23" s="48"/>
      <c r="AY23" s="20"/>
      <c r="AZ23" s="20">
        <f>AZ11</f>
        <v>-7.8141679950118688</v>
      </c>
      <c r="BA23" s="21">
        <f>BA11</f>
        <v>-44.31634888554936</v>
      </c>
      <c r="BB23" s="22">
        <f>BB11</f>
        <v>0</v>
      </c>
      <c r="BE23" s="20">
        <f t="shared" si="4"/>
        <v>-3.5527136788005009E-15</v>
      </c>
      <c r="BF23" s="22">
        <f t="shared" si="5"/>
        <v>-23.846366890494213</v>
      </c>
    </row>
    <row r="24" spans="7:58">
      <c r="G24" s="44"/>
      <c r="H24" s="12"/>
      <c r="I24" s="12"/>
      <c r="J24" s="12"/>
      <c r="K24" s="12"/>
      <c r="L24" s="48"/>
      <c r="M24" s="44"/>
      <c r="N24" s="12"/>
      <c r="O24" s="12"/>
      <c r="P24" s="12"/>
      <c r="Q24" s="48"/>
      <c r="AY24" s="5" t="s">
        <v>87</v>
      </c>
      <c r="AZ24" s="5">
        <f>AZ6</f>
        <v>-26.101488985666762</v>
      </c>
      <c r="BA24" s="6">
        <f>BA6</f>
        <v>5.8346963895560622</v>
      </c>
      <c r="BB24" s="7">
        <f>BB6</f>
        <v>137.52789716557174</v>
      </c>
      <c r="BE24" s="5">
        <f t="shared" si="4"/>
        <v>-26.718133113533607</v>
      </c>
      <c r="BF24" s="7">
        <f t="shared" si="5"/>
        <v>117.27336984989067</v>
      </c>
    </row>
    <row r="25" spans="7:58">
      <c r="G25" s="44"/>
      <c r="H25" s="12"/>
      <c r="I25" s="12"/>
      <c r="J25" s="12"/>
      <c r="K25" s="12"/>
      <c r="L25" s="48"/>
      <c r="M25" s="44"/>
      <c r="N25" s="12"/>
      <c r="O25" s="12"/>
      <c r="P25" s="12"/>
      <c r="Q25" s="48"/>
      <c r="AY25" s="20"/>
      <c r="AZ25" s="20">
        <f>AZ12</f>
        <v>-42.286167935365881</v>
      </c>
      <c r="BA25" s="21">
        <f>BA12</f>
        <v>15.390906449655089</v>
      </c>
      <c r="BB25" s="22">
        <f>BB12</f>
        <v>0</v>
      </c>
      <c r="BE25" s="20">
        <f t="shared" si="4"/>
        <v>-44.31634888554936</v>
      </c>
      <c r="BF25" s="22">
        <f t="shared" si="5"/>
        <v>4.1408781545113431</v>
      </c>
    </row>
    <row r="26" spans="7:58">
      <c r="G26" s="44"/>
      <c r="H26" s="12"/>
      <c r="I26" s="12"/>
      <c r="J26" s="12"/>
      <c r="K26" s="12"/>
      <c r="L26" s="48"/>
      <c r="M26" s="44"/>
      <c r="N26" s="12"/>
      <c r="O26" s="12"/>
      <c r="P26" s="12"/>
      <c r="Q26" s="48"/>
      <c r="AY26" s="5" t="s">
        <v>88</v>
      </c>
      <c r="AZ26" s="5">
        <f>AZ7</f>
        <v>-18.5600238183182</v>
      </c>
      <c r="BA26" s="6">
        <f>BA7</f>
        <v>18.68420159709467</v>
      </c>
      <c r="BB26" s="7">
        <f>BB7</f>
        <v>141.90634349265133</v>
      </c>
      <c r="BE26" s="11">
        <f t="shared" si="4"/>
        <v>-21.522532910868048</v>
      </c>
      <c r="BF26" s="13">
        <f t="shared" si="5"/>
        <v>128.3862181772526</v>
      </c>
    </row>
    <row r="27" spans="7:58">
      <c r="G27" s="44"/>
      <c r="H27" s="12"/>
      <c r="I27" s="12"/>
      <c r="J27" s="12"/>
      <c r="K27" s="12"/>
      <c r="L27" s="48"/>
      <c r="M27" s="44"/>
      <c r="N27" s="12"/>
      <c r="O27" s="12"/>
      <c r="P27" s="12"/>
      <c r="Q27" s="48"/>
      <c r="AY27" s="20"/>
      <c r="AZ27" s="20">
        <f>AZ13</f>
        <v>-34.47199994035401</v>
      </c>
      <c r="BA27" s="21">
        <f>BA13</f>
        <v>28.925442435894265</v>
      </c>
      <c r="BB27" s="22">
        <f>BB13</f>
        <v>0</v>
      </c>
      <c r="BE27" s="20">
        <f>(AZ27*_RMX1)+(BA27*_RMY1)+(BB27*_RMZ1)</f>
        <v>-38.97114317029974</v>
      </c>
      <c r="BF27" s="22">
        <f t="shared" si="5"/>
        <v>11.923183445247105</v>
      </c>
    </row>
    <row r="28" spans="7:58">
      <c r="G28" s="44"/>
      <c r="H28" s="12"/>
      <c r="I28" s="12"/>
      <c r="J28" s="12"/>
      <c r="K28" s="12"/>
      <c r="L28" s="48"/>
      <c r="M28" s="44"/>
      <c r="N28" s="12"/>
      <c r="O28" s="12"/>
      <c r="P28" s="12"/>
      <c r="Q28" s="48"/>
    </row>
    <row r="29" spans="7:58">
      <c r="G29" s="44"/>
      <c r="H29" s="12"/>
      <c r="I29" s="12"/>
      <c r="J29" s="12"/>
      <c r="K29" s="12"/>
      <c r="L29" s="48"/>
      <c r="M29" s="44"/>
      <c r="N29" s="12"/>
      <c r="O29" s="12"/>
      <c r="P29" s="12"/>
      <c r="Q29" s="48"/>
    </row>
    <row r="30" spans="7:58">
      <c r="G30" s="44"/>
      <c r="H30" s="12"/>
      <c r="I30" s="12"/>
      <c r="J30" s="12"/>
      <c r="K30" s="12"/>
      <c r="L30" s="48"/>
      <c r="M30" s="44"/>
      <c r="N30" s="12"/>
      <c r="O30" s="12"/>
      <c r="P30" s="12"/>
      <c r="Q30" s="48"/>
    </row>
    <row r="31" spans="7:58">
      <c r="G31" s="44"/>
      <c r="H31" s="12"/>
      <c r="I31" s="12"/>
      <c r="J31" s="12"/>
      <c r="K31" s="12"/>
      <c r="L31" s="48"/>
      <c r="M31" s="44"/>
      <c r="N31" s="12"/>
      <c r="O31" s="12"/>
      <c r="P31" s="12"/>
      <c r="Q31" s="48"/>
      <c r="AY31" t="s">
        <v>90</v>
      </c>
      <c r="AZ31" t="s">
        <v>18</v>
      </c>
      <c r="BA31" t="s">
        <v>19</v>
      </c>
      <c r="BB31" t="s">
        <v>20</v>
      </c>
      <c r="BD31" s="12"/>
    </row>
    <row r="32" spans="7:58">
      <c r="G32" s="44"/>
      <c r="H32" s="12"/>
      <c r="I32" s="12"/>
      <c r="J32" s="12"/>
      <c r="K32" s="12"/>
      <c r="L32" s="48"/>
      <c r="M32" s="44"/>
      <c r="N32" s="12"/>
      <c r="O32" s="12"/>
      <c r="P32" s="12"/>
      <c r="Q32" s="48"/>
      <c r="AY32">
        <v>1</v>
      </c>
      <c r="AZ32" s="25">
        <f>DATA!K39</f>
        <v>4.6829963602616118</v>
      </c>
      <c r="BA32" s="25">
        <f>DATA!L39</f>
        <v>28.925442435894269</v>
      </c>
      <c r="BB32" s="25">
        <f>DATA!M39</f>
        <v>3.5517975315665429</v>
      </c>
      <c r="BD32" s="12"/>
    </row>
    <row r="33" spans="7:58">
      <c r="G33" s="44"/>
      <c r="H33" s="12"/>
      <c r="I33" s="12"/>
      <c r="J33" s="12"/>
      <c r="K33" s="12"/>
      <c r="L33" s="48"/>
      <c r="M33" s="44"/>
      <c r="N33" s="12"/>
      <c r="O33" s="12"/>
      <c r="P33" s="12"/>
      <c r="Q33" s="48"/>
      <c r="AY33">
        <v>2</v>
      </c>
      <c r="AZ33" s="25">
        <f>DATA!K40</f>
        <v>27.300493989936577</v>
      </c>
      <c r="BA33" s="25">
        <f>DATA!L40</f>
        <v>-10.565042209489638</v>
      </c>
      <c r="BB33" s="25">
        <f>DATA!M40</f>
        <v>-1.3108415637002599</v>
      </c>
      <c r="BD33" s="12"/>
    </row>
    <row r="34" spans="7:58">
      <c r="G34" s="44"/>
      <c r="H34" s="12"/>
      <c r="I34" s="12"/>
      <c r="J34" s="12"/>
      <c r="K34" s="12"/>
      <c r="L34" s="48"/>
      <c r="M34" s="44"/>
      <c r="N34" s="12"/>
      <c r="O34" s="12"/>
      <c r="P34" s="12"/>
      <c r="Q34" s="48"/>
      <c r="AY34">
        <v>3</v>
      </c>
      <c r="AZ34" s="25">
        <f>DATA!K41</f>
        <v>21.10356379591466</v>
      </c>
      <c r="BA34" s="25">
        <f>DATA!L41</f>
        <v>-21.298440156493239</v>
      </c>
      <c r="BB34" s="25">
        <f>DATA!M41</f>
        <v>-13.912865879745604</v>
      </c>
      <c r="BD34" s="12"/>
    </row>
    <row r="35" spans="7:58" ht="13" thickBot="1">
      <c r="G35" s="45"/>
      <c r="H35" s="49"/>
      <c r="I35" s="49"/>
      <c r="J35" s="49"/>
      <c r="K35" s="49"/>
      <c r="L35" s="50"/>
      <c r="M35" s="45"/>
      <c r="N35" s="49"/>
      <c r="O35" s="49"/>
      <c r="P35" s="49"/>
      <c r="Q35" s="50"/>
      <c r="AY35">
        <v>4</v>
      </c>
      <c r="AZ35" s="25">
        <f>DATA!K42</f>
        <v>-21.285832204124222</v>
      </c>
      <c r="BA35" s="25">
        <f>DATA!L42</f>
        <v>-20.982742012859553</v>
      </c>
      <c r="BB35" s="25">
        <f>DATA!M42</f>
        <v>-13.193068397749034</v>
      </c>
      <c r="BD35" s="12"/>
    </row>
    <row r="36" spans="7:58">
      <c r="AY36">
        <v>5</v>
      </c>
      <c r="AZ36" s="25">
        <f>DATA!K43</f>
        <v>-27.305028953705019</v>
      </c>
      <c r="BA36" s="25">
        <f>DATA!L43</f>
        <v>-10.557187421832184</v>
      </c>
      <c r="BB36" s="25">
        <f>DATA!M43</f>
        <v>-1.5039611858841182</v>
      </c>
      <c r="BD36" s="12"/>
    </row>
    <row r="37" spans="7:58">
      <c r="AY37">
        <v>6</v>
      </c>
      <c r="AZ37" s="25">
        <f>DATA!K44</f>
        <v>-4.6202759907116437</v>
      </c>
      <c r="BA37" s="25">
        <f>DATA!L44</f>
        <v>28.925442435894265</v>
      </c>
      <c r="BB37" s="25">
        <f>DATA!M44</f>
        <v>2.9790228656974542</v>
      </c>
      <c r="BD37" s="12"/>
    </row>
    <row r="38" spans="7:58">
      <c r="BD38" s="12"/>
    </row>
    <row r="39" spans="7:58">
      <c r="BD39" s="12"/>
    </row>
    <row r="40" spans="7:58">
      <c r="AY40" s="5" t="s">
        <v>94</v>
      </c>
      <c r="AZ40" s="6">
        <f>AZ8</f>
        <v>34.47199994035401</v>
      </c>
      <c r="BA40" s="6">
        <f>BA8</f>
        <v>28.925442435894265</v>
      </c>
      <c r="BB40" s="6">
        <f>BB8</f>
        <v>0</v>
      </c>
      <c r="BC40" s="6"/>
      <c r="BD40" s="6"/>
      <c r="BE40" s="6">
        <f t="shared" ref="BE40:BE51" si="6">(AZ40*_RMX1)+(BA40*_RMY1)+(BB40*_RMZ1)</f>
        <v>28.925442435894272</v>
      </c>
      <c r="BF40" s="7">
        <f t="shared" ref="BF40:BF51" si="7">(AZ40*_RMX2)+(BA40*_RMY2)+(BB40*_RMZ2)</f>
        <v>18.267376845039472</v>
      </c>
    </row>
    <row r="41" spans="7:58">
      <c r="AY41" s="20"/>
      <c r="AZ41" s="30">
        <f>AZ32</f>
        <v>4.6829963602616118</v>
      </c>
      <c r="BA41" s="30">
        <f>BA32</f>
        <v>28.925442435894269</v>
      </c>
      <c r="BB41" s="30">
        <f>BB32</f>
        <v>3.5517975315665429</v>
      </c>
      <c r="BC41" s="21"/>
      <c r="BD41" s="21"/>
      <c r="BE41" s="21">
        <f t="shared" si="6"/>
        <v>-0.41099924428914747</v>
      </c>
      <c r="BF41" s="22">
        <f t="shared" si="7"/>
        <v>18.538302331407245</v>
      </c>
    </row>
    <row r="42" spans="7:58">
      <c r="AY42" s="5" t="s">
        <v>95</v>
      </c>
      <c r="AZ42" s="6">
        <f>AZ9</f>
        <v>42.286167935365881</v>
      </c>
      <c r="BA42" s="6">
        <f>BA9</f>
        <v>15.390906449655089</v>
      </c>
      <c r="BB42" s="6">
        <f>BB9</f>
        <v>0</v>
      </c>
      <c r="BC42" s="6"/>
      <c r="BD42" s="6"/>
      <c r="BE42" s="6">
        <f t="shared" si="6"/>
        <v>38.97114317029974</v>
      </c>
      <c r="BF42" s="7">
        <f t="shared" si="7"/>
        <v>11.923183445247103</v>
      </c>
    </row>
    <row r="43" spans="7:58">
      <c r="AY43" s="20"/>
      <c r="AZ43" s="30">
        <f>AZ33</f>
        <v>27.300493989936577</v>
      </c>
      <c r="BA43" s="30">
        <f>BA33</f>
        <v>-10.565042209489638</v>
      </c>
      <c r="BB43" s="30">
        <f>BB33</f>
        <v>-1.3108415637002599</v>
      </c>
      <c r="BC43" s="21"/>
      <c r="BD43" s="21"/>
      <c r="BE43" s="21">
        <f t="shared" si="6"/>
        <v>28.720338469004805</v>
      </c>
      <c r="BF43" s="22">
        <f t="shared" si="7"/>
        <v>-4.1130422742918302</v>
      </c>
    </row>
    <row r="44" spans="7:58">
      <c r="AY44" s="5" t="s">
        <v>96</v>
      </c>
      <c r="AZ44" s="6">
        <f>AZ10</f>
        <v>7.8141679950118688</v>
      </c>
      <c r="BA44" s="6">
        <f>BA10</f>
        <v>-44.31634888554936</v>
      </c>
      <c r="BB44" s="6">
        <f>BB10</f>
        <v>0</v>
      </c>
      <c r="BC44" s="6"/>
      <c r="BD44" s="6"/>
      <c r="BE44" s="6">
        <f t="shared" si="6"/>
        <v>15.390906449655095</v>
      </c>
      <c r="BF44" s="7">
        <f t="shared" si="7"/>
        <v>-22.408254999550817</v>
      </c>
    </row>
    <row r="45" spans="7:58">
      <c r="AY45" s="20"/>
      <c r="AZ45" s="30">
        <f>AZ34</f>
        <v>21.10356379591466</v>
      </c>
      <c r="BA45" s="30">
        <f>BA34</f>
        <v>-21.298440156493239</v>
      </c>
      <c r="BB45" s="30">
        <f>BB34</f>
        <v>-13.912865879745604</v>
      </c>
      <c r="BC45" s="21"/>
      <c r="BD45" s="21"/>
      <c r="BE45" s="21">
        <f t="shared" si="6"/>
        <v>24.481388562727719</v>
      </c>
      <c r="BF45" s="22">
        <f t="shared" si="7"/>
        <v>-20.971826869989243</v>
      </c>
    </row>
    <row r="46" spans="7:58">
      <c r="AY46" s="5" t="s">
        <v>97</v>
      </c>
      <c r="AZ46" s="6">
        <f>AZ11</f>
        <v>-7.8141679950118688</v>
      </c>
      <c r="BA46" s="6">
        <f>BA11</f>
        <v>-44.31634888554936</v>
      </c>
      <c r="BB46" s="6">
        <f>BB11</f>
        <v>0</v>
      </c>
      <c r="BC46" s="6"/>
      <c r="BD46" s="6"/>
      <c r="BE46" s="6">
        <f t="shared" si="6"/>
        <v>-3.5527136788005009E-15</v>
      </c>
      <c r="BF46" s="7">
        <f t="shared" si="7"/>
        <v>-23.846366890494213</v>
      </c>
    </row>
    <row r="47" spans="7:58">
      <c r="AY47" s="20"/>
      <c r="AZ47" s="30">
        <f>AZ35</f>
        <v>-21.285832204124222</v>
      </c>
      <c r="BA47" s="30">
        <f>BA35</f>
        <v>-20.982742012859553</v>
      </c>
      <c r="BB47" s="30">
        <f>BB35</f>
        <v>-13.193068397749034</v>
      </c>
      <c r="BC47" s="21"/>
      <c r="BD47" s="21"/>
      <c r="BE47" s="21">
        <f t="shared" si="6"/>
        <v>-17.318837670950074</v>
      </c>
      <c r="BF47" s="22">
        <f t="shared" si="7"/>
        <v>-24.097302679325182</v>
      </c>
    </row>
    <row r="48" spans="7:58">
      <c r="AY48" s="5" t="s">
        <v>98</v>
      </c>
      <c r="AZ48" s="6">
        <f>AZ12</f>
        <v>-42.286167935365881</v>
      </c>
      <c r="BA48" s="6">
        <f>BA12</f>
        <v>15.390906449655089</v>
      </c>
      <c r="BB48" s="6">
        <f>BB12</f>
        <v>0</v>
      </c>
      <c r="BC48" s="6"/>
      <c r="BD48" s="6"/>
      <c r="BE48" s="6">
        <f t="shared" si="6"/>
        <v>-44.31634888554936</v>
      </c>
      <c r="BF48" s="7">
        <f t="shared" si="7"/>
        <v>4.1408781545113431</v>
      </c>
    </row>
    <row r="49" spans="51:64">
      <c r="AY49" s="20"/>
      <c r="AZ49" s="30">
        <f>AZ36</f>
        <v>-27.305028953705019</v>
      </c>
      <c r="BA49" s="30">
        <f>BA36</f>
        <v>-10.557187421832184</v>
      </c>
      <c r="BB49" s="30">
        <f>BB36</f>
        <v>-1.5039611858841182</v>
      </c>
      <c r="BC49" s="21"/>
      <c r="BD49" s="21"/>
      <c r="BE49" s="21">
        <f t="shared" si="6"/>
        <v>-25.056967852742122</v>
      </c>
      <c r="BF49" s="22">
        <f t="shared" si="7"/>
        <v>-9.2974915479112781</v>
      </c>
    </row>
    <row r="50" spans="51:64">
      <c r="AY50" s="5" t="s">
        <v>99</v>
      </c>
      <c r="AZ50" s="6">
        <f>AZ13</f>
        <v>-34.47199994035401</v>
      </c>
      <c r="BA50" s="6">
        <f>BA13</f>
        <v>28.925442435894265</v>
      </c>
      <c r="BB50" s="6">
        <f>BB13</f>
        <v>0</v>
      </c>
      <c r="BC50" s="6"/>
      <c r="BD50" s="6"/>
      <c r="BE50" s="6">
        <f t="shared" si="6"/>
        <v>-38.97114317029974</v>
      </c>
      <c r="BF50" s="7">
        <f t="shared" si="7"/>
        <v>11.923183445247105</v>
      </c>
    </row>
    <row r="51" spans="51:64">
      <c r="AY51" s="20"/>
      <c r="AZ51" s="30">
        <f>AZ37</f>
        <v>-4.6202759907116437</v>
      </c>
      <c r="BA51" s="30">
        <f>BA37</f>
        <v>28.925442435894265</v>
      </c>
      <c r="BB51" s="30">
        <f>BB37</f>
        <v>2.9790228656974542</v>
      </c>
      <c r="BC51" s="21"/>
      <c r="BD51" s="21"/>
      <c r="BE51" s="21">
        <f t="shared" si="6"/>
        <v>-9.5729339839117209</v>
      </c>
      <c r="BF51" s="22">
        <f t="shared" si="7"/>
        <v>17.196479261076675</v>
      </c>
    </row>
    <row r="54" spans="51:64">
      <c r="AY54" s="5" t="s">
        <v>100</v>
      </c>
      <c r="AZ54" s="6">
        <f>AZ16</f>
        <v>23.859921305611259</v>
      </c>
      <c r="BA54" s="6">
        <f>BA16</f>
        <v>19.424644493484287</v>
      </c>
      <c r="BB54" s="6">
        <f>BB16</f>
        <v>141.90634349265133</v>
      </c>
      <c r="BC54" s="6"/>
      <c r="BD54" s="6"/>
      <c r="BE54" s="6">
        <f t="shared" ref="BE54:BE65" si="8">(AZ54*_RMX1)+(BA54*_RMY1)+(BB54*_RMZ1)</f>
        <v>20.124381369905613</v>
      </c>
      <c r="BF54" s="7">
        <f t="shared" ref="BF54:BF65" si="9">(AZ54*_RMX2)+(BA54*_RMY2)+(BB54*_RMZ2)</f>
        <v>132.67609483220468</v>
      </c>
    </row>
    <row r="55" spans="51:64">
      <c r="AY55" s="20"/>
      <c r="AZ55" s="30">
        <f>AZ41</f>
        <v>4.6829963602616118</v>
      </c>
      <c r="BA55" s="30">
        <f>BA41</f>
        <v>28.925442435894269</v>
      </c>
      <c r="BB55" s="30">
        <f>BB41</f>
        <v>3.5517975315665429</v>
      </c>
      <c r="BC55" s="21"/>
      <c r="BD55" s="21"/>
      <c r="BE55" s="21">
        <f t="shared" si="8"/>
        <v>-0.41099924428914747</v>
      </c>
      <c r="BF55" s="22">
        <f t="shared" si="9"/>
        <v>18.538302331407245</v>
      </c>
    </row>
    <row r="56" spans="51:64">
      <c r="AY56" s="5" t="s">
        <v>101</v>
      </c>
      <c r="AZ56" s="6">
        <f>AZ18</f>
        <v>31.845233680762703</v>
      </c>
      <c r="BA56" s="6">
        <f>BA18</f>
        <v>6.8461601960760055</v>
      </c>
      <c r="BB56" s="6">
        <f>BB18</f>
        <v>137.52789716557174</v>
      </c>
      <c r="BC56" s="6"/>
      <c r="BD56" s="6"/>
      <c r="BE56" s="6">
        <f t="shared" si="8"/>
        <v>30.172609783236133</v>
      </c>
      <c r="BF56" s="7">
        <f t="shared" si="9"/>
        <v>123.133450339657</v>
      </c>
    </row>
    <row r="57" spans="51:64">
      <c r="AY57" s="20"/>
      <c r="AZ57" s="30">
        <f>AZ43</f>
        <v>27.300493989936577</v>
      </c>
      <c r="BA57" s="30">
        <f>BA43</f>
        <v>-10.565042209489638</v>
      </c>
      <c r="BB57" s="30">
        <f>BB43</f>
        <v>-1.3108415637002599</v>
      </c>
      <c r="BC57" s="21"/>
      <c r="BD57" s="21"/>
      <c r="BE57" s="21">
        <f t="shared" si="8"/>
        <v>28.720338469004805</v>
      </c>
      <c r="BF57" s="22">
        <f t="shared" si="9"/>
        <v>-4.1130422742918302</v>
      </c>
    </row>
    <row r="58" spans="51:64">
      <c r="AY58" s="5" t="s">
        <v>102</v>
      </c>
      <c r="AZ58" s="6">
        <f>AZ20</f>
        <v>11.241567680055503</v>
      </c>
      <c r="BA58" s="6">
        <f>BA20</f>
        <v>-28.259340883040355</v>
      </c>
      <c r="BB58" s="6">
        <f>BB20</f>
        <v>125.56575934177691</v>
      </c>
      <c r="BC58" s="6"/>
      <c r="BD58" s="6"/>
      <c r="BE58" s="6">
        <f t="shared" si="8"/>
        <v>15.97796605373866</v>
      </c>
      <c r="BF58" s="7">
        <f t="shared" si="9"/>
        <v>92.77258409249734</v>
      </c>
    </row>
    <row r="59" spans="51:64">
      <c r="AY59" s="20"/>
      <c r="AZ59" s="30">
        <f>AZ45</f>
        <v>21.10356379591466</v>
      </c>
      <c r="BA59" s="30">
        <f>BA45</f>
        <v>-21.298440156493239</v>
      </c>
      <c r="BB59" s="30">
        <f>BB45</f>
        <v>-13.912865879745604</v>
      </c>
      <c r="BC59" s="21"/>
      <c r="BD59" s="21"/>
      <c r="BE59" s="21">
        <f t="shared" si="8"/>
        <v>24.481388562727719</v>
      </c>
      <c r="BF59" s="22">
        <f t="shared" si="9"/>
        <v>-20.971826869989243</v>
      </c>
      <c r="BL59" s="12"/>
    </row>
    <row r="60" spans="51:64">
      <c r="AY60" s="5" t="s">
        <v>103</v>
      </c>
      <c r="AZ60" s="6">
        <f>AZ22</f>
        <v>-4.2852098624445034</v>
      </c>
      <c r="BA60" s="6">
        <f>BA22</f>
        <v>-28.53036179317068</v>
      </c>
      <c r="BB60" s="6">
        <f>BB22</f>
        <v>125.56575934177691</v>
      </c>
      <c r="BC60" s="6"/>
      <c r="BD60" s="6"/>
      <c r="BE60" s="6">
        <f t="shared" si="8"/>
        <v>0.73413743774257867</v>
      </c>
      <c r="BF60" s="7">
        <f t="shared" si="9"/>
        <v>91.202380257683075</v>
      </c>
      <c r="BL60" s="12"/>
    </row>
    <row r="61" spans="51:64">
      <c r="AY61" s="20"/>
      <c r="AZ61" s="30">
        <f>AZ47</f>
        <v>-21.285832204124222</v>
      </c>
      <c r="BA61" s="30">
        <f>BA47</f>
        <v>-20.982742012859553</v>
      </c>
      <c r="BB61" s="30">
        <f>BB47</f>
        <v>-13.193068397749034</v>
      </c>
      <c r="BC61" s="21"/>
      <c r="BD61" s="21"/>
      <c r="BE61" s="21">
        <f t="shared" si="8"/>
        <v>-17.318837670950074</v>
      </c>
      <c r="BF61" s="22">
        <f t="shared" si="9"/>
        <v>-24.097302679325182</v>
      </c>
      <c r="BL61" s="12"/>
    </row>
    <row r="62" spans="51:64">
      <c r="AY62" s="5" t="s">
        <v>104</v>
      </c>
      <c r="AZ62" s="6">
        <f>AZ24</f>
        <v>-26.101488985666762</v>
      </c>
      <c r="BA62" s="6">
        <f>BA24</f>
        <v>5.8346963895560622</v>
      </c>
      <c r="BB62" s="6">
        <f>BB24</f>
        <v>137.52789716557174</v>
      </c>
      <c r="BC62" s="6"/>
      <c r="BD62" s="6"/>
      <c r="BE62" s="6">
        <f t="shared" si="8"/>
        <v>-26.718133113533607</v>
      </c>
      <c r="BF62" s="7">
        <f t="shared" si="9"/>
        <v>117.27336984989067</v>
      </c>
      <c r="BL62" s="12"/>
    </row>
    <row r="63" spans="51:64">
      <c r="AY63" s="20"/>
      <c r="AZ63" s="30">
        <f>AZ49</f>
        <v>-27.305028953705019</v>
      </c>
      <c r="BA63" s="30">
        <f>BA49</f>
        <v>-10.557187421832184</v>
      </c>
      <c r="BB63" s="30">
        <f>BB49</f>
        <v>-1.5039611858841182</v>
      </c>
      <c r="BC63" s="21"/>
      <c r="BD63" s="21"/>
      <c r="BE63" s="21">
        <f t="shared" si="8"/>
        <v>-25.056967852742122</v>
      </c>
      <c r="BF63" s="22">
        <f t="shared" si="9"/>
        <v>-9.2974915479112781</v>
      </c>
      <c r="BL63" s="12"/>
    </row>
    <row r="64" spans="51:64">
      <c r="AY64" s="5" t="s">
        <v>105</v>
      </c>
      <c r="AZ64" s="6">
        <f>AZ26</f>
        <v>-18.5600238183182</v>
      </c>
      <c r="BA64" s="6">
        <f>BA26</f>
        <v>18.68420159709467</v>
      </c>
      <c r="BB64" s="6">
        <f>BB26</f>
        <v>141.90634349265133</v>
      </c>
      <c r="BC64" s="6"/>
      <c r="BD64" s="6"/>
      <c r="BE64" s="6">
        <f t="shared" si="8"/>
        <v>-21.522532910868048</v>
      </c>
      <c r="BF64" s="7">
        <f t="shared" si="9"/>
        <v>128.3862181772526</v>
      </c>
      <c r="BL64" s="12"/>
    </row>
    <row r="65" spans="51:64">
      <c r="AY65" s="20"/>
      <c r="AZ65" s="30">
        <f>AZ51</f>
        <v>-4.6202759907116437</v>
      </c>
      <c r="BA65" s="30">
        <f>BA51</f>
        <v>28.925442435894265</v>
      </c>
      <c r="BB65" s="30">
        <f>BB51</f>
        <v>2.9790228656974542</v>
      </c>
      <c r="BC65" s="21"/>
      <c r="BD65" s="21"/>
      <c r="BE65" s="21">
        <f t="shared" si="8"/>
        <v>-9.5729339839117209</v>
      </c>
      <c r="BF65" s="22">
        <f t="shared" si="9"/>
        <v>17.196479261076675</v>
      </c>
      <c r="BL65" s="12"/>
    </row>
    <row r="66" spans="51:64">
      <c r="BL66" s="12"/>
    </row>
    <row r="67" spans="51:64">
      <c r="BL67" s="12"/>
    </row>
    <row r="68" spans="51:64">
      <c r="BL68" s="12"/>
    </row>
    <row r="69" spans="51:64">
      <c r="AY69" s="3" t="s">
        <v>111</v>
      </c>
      <c r="AZ69" s="3">
        <f t="shared" ref="AZ69:BB74" si="10">AZ2</f>
        <v>23.859921305611259</v>
      </c>
      <c r="BA69" s="3">
        <f t="shared" si="10"/>
        <v>19.424644493484287</v>
      </c>
      <c r="BB69" s="3">
        <f t="shared" si="10"/>
        <v>141.90634349265133</v>
      </c>
      <c r="BE69" s="21">
        <f t="shared" ref="BE69:BE74" si="11">(AZ69*_RMX1)+(BA69*_RMY1)+(BB69*_RMZ1)</f>
        <v>20.124381369905613</v>
      </c>
      <c r="BF69" s="22">
        <f t="shared" ref="BF69:BF74" si="12">(AZ69*_RMX2)+(BA69*_RMY2)+(BB69*_RMZ2)</f>
        <v>132.67609483220468</v>
      </c>
      <c r="BL69" s="12"/>
    </row>
    <row r="70" spans="51:64">
      <c r="AZ70" s="3">
        <f t="shared" si="10"/>
        <v>31.845233680762703</v>
      </c>
      <c r="BA70" s="3">
        <f t="shared" si="10"/>
        <v>6.8461601960760055</v>
      </c>
      <c r="BB70" s="3">
        <f t="shared" si="10"/>
        <v>137.52789716557174</v>
      </c>
      <c r="BE70" s="21">
        <f t="shared" si="11"/>
        <v>30.172609783236133</v>
      </c>
      <c r="BF70" s="22">
        <f t="shared" si="12"/>
        <v>123.133450339657</v>
      </c>
      <c r="BL70" s="12"/>
    </row>
    <row r="71" spans="51:64">
      <c r="AZ71" s="3">
        <f t="shared" si="10"/>
        <v>11.241567680055503</v>
      </c>
      <c r="BA71" s="3">
        <f t="shared" si="10"/>
        <v>-28.259340883040355</v>
      </c>
      <c r="BB71" s="3">
        <f t="shared" si="10"/>
        <v>125.56575934177691</v>
      </c>
      <c r="BE71" s="21">
        <f t="shared" si="11"/>
        <v>15.97796605373866</v>
      </c>
      <c r="BF71" s="22">
        <f t="shared" si="12"/>
        <v>92.77258409249734</v>
      </c>
      <c r="BL71" s="12"/>
    </row>
    <row r="72" spans="51:64">
      <c r="AZ72" s="3">
        <f t="shared" si="10"/>
        <v>-4.2852098624445034</v>
      </c>
      <c r="BA72" s="3">
        <f t="shared" si="10"/>
        <v>-28.53036179317068</v>
      </c>
      <c r="BB72" s="3">
        <f t="shared" si="10"/>
        <v>125.56575934177691</v>
      </c>
      <c r="BE72" s="21">
        <f t="shared" si="11"/>
        <v>0.73413743774257867</v>
      </c>
      <c r="BF72" s="22">
        <f t="shared" si="12"/>
        <v>91.202380257683075</v>
      </c>
      <c r="BL72" s="12"/>
    </row>
    <row r="73" spans="51:64">
      <c r="AZ73" s="3">
        <f t="shared" si="10"/>
        <v>-26.101488985666762</v>
      </c>
      <c r="BA73" s="3">
        <f t="shared" si="10"/>
        <v>5.8346963895560622</v>
      </c>
      <c r="BB73" s="3">
        <f t="shared" si="10"/>
        <v>137.52789716557174</v>
      </c>
      <c r="BE73" s="21">
        <f t="shared" si="11"/>
        <v>-26.718133113533607</v>
      </c>
      <c r="BF73" s="22">
        <f t="shared" si="12"/>
        <v>117.27336984989067</v>
      </c>
      <c r="BL73" s="12"/>
    </row>
    <row r="74" spans="51:64">
      <c r="AZ74" s="3">
        <f t="shared" si="10"/>
        <v>-18.5600238183182</v>
      </c>
      <c r="BA74" s="3">
        <f t="shared" si="10"/>
        <v>18.68420159709467</v>
      </c>
      <c r="BB74" s="3">
        <f t="shared" si="10"/>
        <v>141.90634349265133</v>
      </c>
      <c r="BE74" s="21">
        <f t="shared" si="11"/>
        <v>-21.522532910868048</v>
      </c>
      <c r="BF74" s="22">
        <f t="shared" si="12"/>
        <v>128.3862181772526</v>
      </c>
      <c r="BL74" s="12"/>
    </row>
    <row r="75" spans="51:64">
      <c r="AZ75" s="3">
        <f>AZ69</f>
        <v>23.859921305611259</v>
      </c>
      <c r="BA75" s="3">
        <f>BA69</f>
        <v>19.424644493484287</v>
      </c>
      <c r="BB75" s="3">
        <f>BB69</f>
        <v>141.90634349265133</v>
      </c>
      <c r="BE75" s="21">
        <f t="shared" ref="BE75:BE83" si="13">(AZ75*_RMX1)+(BA75*_RMY1)+(BB75*_RMZ1)</f>
        <v>20.124381369905613</v>
      </c>
      <c r="BF75" s="22">
        <f t="shared" ref="BF75:BF83" si="14">(AZ75*_RMX2)+(BA75*_RMY2)+(BB75*_RMZ2)</f>
        <v>132.67609483220468</v>
      </c>
      <c r="BL75" s="12"/>
    </row>
    <row r="76" spans="51:64">
      <c r="BE76" s="21"/>
      <c r="BF76" s="22"/>
      <c r="BL76" s="12"/>
    </row>
    <row r="77" spans="51:64">
      <c r="AY77" s="3" t="s">
        <v>112</v>
      </c>
      <c r="AZ77" s="3">
        <f t="shared" ref="AZ77:BB82" si="15">AZ8</f>
        <v>34.47199994035401</v>
      </c>
      <c r="BA77" s="3">
        <f t="shared" si="15"/>
        <v>28.925442435894265</v>
      </c>
      <c r="BB77" s="3">
        <f t="shared" si="15"/>
        <v>0</v>
      </c>
      <c r="BE77" s="21">
        <f t="shared" si="13"/>
        <v>28.925442435894272</v>
      </c>
      <c r="BF77" s="22">
        <f t="shared" si="14"/>
        <v>18.267376845039472</v>
      </c>
      <c r="BL77" s="12"/>
    </row>
    <row r="78" spans="51:64">
      <c r="AZ78" s="3">
        <f t="shared" si="15"/>
        <v>42.286167935365881</v>
      </c>
      <c r="BA78" s="3">
        <f t="shared" si="15"/>
        <v>15.390906449655089</v>
      </c>
      <c r="BB78" s="3">
        <f t="shared" si="15"/>
        <v>0</v>
      </c>
      <c r="BE78" s="21">
        <f t="shared" si="13"/>
        <v>38.97114317029974</v>
      </c>
      <c r="BF78" s="22">
        <f t="shared" si="14"/>
        <v>11.923183445247103</v>
      </c>
      <c r="BJ78" s="12"/>
      <c r="BK78" s="12"/>
      <c r="BL78" s="12"/>
    </row>
    <row r="79" spans="51:64">
      <c r="AZ79" s="3">
        <f t="shared" si="15"/>
        <v>7.8141679950118688</v>
      </c>
      <c r="BA79" s="3">
        <f t="shared" si="15"/>
        <v>-44.31634888554936</v>
      </c>
      <c r="BB79" s="3">
        <f t="shared" si="15"/>
        <v>0</v>
      </c>
      <c r="BE79" s="21">
        <f t="shared" si="13"/>
        <v>15.390906449655095</v>
      </c>
      <c r="BF79" s="22">
        <f t="shared" si="14"/>
        <v>-22.408254999550817</v>
      </c>
    </row>
    <row r="80" spans="51:64">
      <c r="AZ80" s="3">
        <f t="shared" si="15"/>
        <v>-7.8141679950118688</v>
      </c>
      <c r="BA80" s="3">
        <f t="shared" si="15"/>
        <v>-44.31634888554936</v>
      </c>
      <c r="BB80" s="3">
        <f t="shared" si="15"/>
        <v>0</v>
      </c>
      <c r="BE80" s="21">
        <f t="shared" si="13"/>
        <v>-3.5527136788005009E-15</v>
      </c>
      <c r="BF80" s="22">
        <f t="shared" si="14"/>
        <v>-23.846366890494213</v>
      </c>
    </row>
    <row r="81" spans="51:58">
      <c r="AZ81" s="3">
        <f t="shared" si="15"/>
        <v>-42.286167935365881</v>
      </c>
      <c r="BA81" s="3">
        <f t="shared" si="15"/>
        <v>15.390906449655089</v>
      </c>
      <c r="BB81" s="3">
        <f t="shared" si="15"/>
        <v>0</v>
      </c>
      <c r="BE81" s="21">
        <f t="shared" si="13"/>
        <v>-44.31634888554936</v>
      </c>
      <c r="BF81" s="22">
        <f t="shared" si="14"/>
        <v>4.1408781545113431</v>
      </c>
    </row>
    <row r="82" spans="51:58">
      <c r="AZ82" s="3">
        <f t="shared" si="15"/>
        <v>-34.47199994035401</v>
      </c>
      <c r="BA82" s="3">
        <f t="shared" si="15"/>
        <v>28.925442435894265</v>
      </c>
      <c r="BB82" s="3">
        <f t="shared" si="15"/>
        <v>0</v>
      </c>
      <c r="BE82" s="21">
        <f t="shared" si="13"/>
        <v>-38.97114317029974</v>
      </c>
      <c r="BF82" s="22">
        <f t="shared" si="14"/>
        <v>11.923183445247105</v>
      </c>
    </row>
    <row r="83" spans="51:58">
      <c r="AZ83" s="3">
        <f>AZ77</f>
        <v>34.47199994035401</v>
      </c>
      <c r="BA83" s="3">
        <f>BA77</f>
        <v>28.925442435894265</v>
      </c>
      <c r="BB83" s="3">
        <f>BB77</f>
        <v>0</v>
      </c>
      <c r="BE83" s="21">
        <f t="shared" si="13"/>
        <v>28.925442435894272</v>
      </c>
      <c r="BF83" s="22">
        <f t="shared" si="14"/>
        <v>18.267376845039472</v>
      </c>
    </row>
    <row r="88" spans="51:58">
      <c r="AY88" s="3" t="s">
        <v>57</v>
      </c>
      <c r="AZ88" s="3" t="s">
        <v>18</v>
      </c>
      <c r="BA88" s="3" t="s">
        <v>19</v>
      </c>
      <c r="BB88" s="3" t="s">
        <v>20</v>
      </c>
    </row>
    <row r="89" spans="51:58">
      <c r="AZ89" s="5">
        <f>-1*$H$8</f>
        <v>-109</v>
      </c>
      <c r="BA89" s="6">
        <v>0</v>
      </c>
      <c r="BB89" s="7">
        <v>0</v>
      </c>
      <c r="BC89" s="12"/>
      <c r="BE89" s="5">
        <f t="shared" ref="BE89:BE96" si="16">(AZ89*_RMX1)+(BA89*_RMY1)+(BB89*_RMZ1)</f>
        <v>-107.34404507833068</v>
      </c>
      <c r="BF89" s="7">
        <f t="shared" ref="BF89:BF96" si="17">(AZ89*_RMX2)+(BA89*_RMY2)+(BB89*_RMZ2)</f>
        <v>-10.030127085371921</v>
      </c>
    </row>
    <row r="90" spans="51:58">
      <c r="AZ90" s="11">
        <f>1*$H$8</f>
        <v>109</v>
      </c>
      <c r="BA90" s="12">
        <v>0</v>
      </c>
      <c r="BB90" s="13">
        <v>0</v>
      </c>
      <c r="BC90" s="12"/>
      <c r="BE90" s="11">
        <f t="shared" si="16"/>
        <v>107.34404507833068</v>
      </c>
      <c r="BF90" s="13">
        <f t="shared" si="17"/>
        <v>10.030127085371921</v>
      </c>
    </row>
    <row r="91" spans="51:58">
      <c r="AZ91" s="11"/>
      <c r="BA91" s="12"/>
      <c r="BB91" s="13"/>
      <c r="BC91" s="12"/>
      <c r="BE91" s="11">
        <f t="shared" si="16"/>
        <v>0</v>
      </c>
      <c r="BF91" s="13">
        <f t="shared" si="17"/>
        <v>0</v>
      </c>
    </row>
    <row r="92" spans="51:58">
      <c r="AZ92" s="11">
        <v>0</v>
      </c>
      <c r="BA92" s="12">
        <f>-1*$H$8</f>
        <v>-109</v>
      </c>
      <c r="BB92" s="13">
        <v>0</v>
      </c>
      <c r="BC92" s="12"/>
      <c r="BE92" s="11">
        <f t="shared" si="16"/>
        <v>18.927651365695407</v>
      </c>
      <c r="BF92" s="13">
        <f t="shared" si="17"/>
        <v>-56.883677387724951</v>
      </c>
    </row>
    <row r="93" spans="51:58">
      <c r="AZ93" s="11">
        <v>0</v>
      </c>
      <c r="BA93" s="12">
        <f>1*$H$8</f>
        <v>109</v>
      </c>
      <c r="BB93" s="13">
        <v>0</v>
      </c>
      <c r="BC93" s="12"/>
      <c r="BE93" s="11">
        <f t="shared" si="16"/>
        <v>-18.927651365695407</v>
      </c>
      <c r="BF93" s="13">
        <f t="shared" si="17"/>
        <v>56.883677387724951</v>
      </c>
    </row>
    <row r="94" spans="51:58">
      <c r="AZ94" s="11"/>
      <c r="BA94" s="12"/>
      <c r="BB94" s="13"/>
      <c r="BC94" s="12"/>
      <c r="BE94" s="11">
        <f t="shared" si="16"/>
        <v>0</v>
      </c>
      <c r="BF94" s="13">
        <f t="shared" si="17"/>
        <v>0</v>
      </c>
    </row>
    <row r="95" spans="51:58">
      <c r="AZ95" s="11">
        <v>0</v>
      </c>
      <c r="BA95" s="12">
        <v>0</v>
      </c>
      <c r="BB95" s="13">
        <f>-1*$H$8</f>
        <v>-109</v>
      </c>
      <c r="BC95" s="12"/>
      <c r="BE95" s="11">
        <f t="shared" si="16"/>
        <v>0</v>
      </c>
      <c r="BF95" s="13">
        <f t="shared" si="17"/>
        <v>-92.437242481050447</v>
      </c>
    </row>
    <row r="96" spans="51:58">
      <c r="AZ96" s="20">
        <v>0</v>
      </c>
      <c r="BA96" s="21">
        <v>0</v>
      </c>
      <c r="BB96" s="22">
        <f>1*$H$8</f>
        <v>109</v>
      </c>
      <c r="BC96" s="12"/>
      <c r="BE96" s="20">
        <f t="shared" si="16"/>
        <v>0</v>
      </c>
      <c r="BF96" s="22">
        <f t="shared" si="17"/>
        <v>92.437242481050447</v>
      </c>
    </row>
    <row r="100" spans="51:58">
      <c r="AY100" s="4" t="s">
        <v>58</v>
      </c>
      <c r="AZ100" s="4" t="s">
        <v>18</v>
      </c>
      <c r="BA100" s="4" t="s">
        <v>19</v>
      </c>
      <c r="BB100" s="4" t="s">
        <v>20</v>
      </c>
      <c r="BC100" s="4"/>
    </row>
    <row r="101" spans="51:58">
      <c r="AY101" s="12"/>
      <c r="AZ101" s="5">
        <f>-1*$H$8</f>
        <v>-109</v>
      </c>
      <c r="BA101" s="6">
        <f>-1*$H$8</f>
        <v>-109</v>
      </c>
      <c r="BB101" s="7">
        <f>-1*$H$8</f>
        <v>-109</v>
      </c>
      <c r="BC101" s="12"/>
      <c r="BE101" s="5">
        <f t="shared" ref="BE101:BE110" si="18">(AZ101*_RMX1)+(BA101*_RMY1)+(BB101*_RMZ1)</f>
        <v>-88.416393712635269</v>
      </c>
      <c r="BF101" s="7">
        <f t="shared" ref="BF101:BF110" si="19">(AZ101*_RMX2)+(BA101*_RMY2)+(BB101*_RMZ2)</f>
        <v>-159.35104695414731</v>
      </c>
    </row>
    <row r="102" spans="51:58">
      <c r="AY102" s="12"/>
      <c r="AZ102" s="11">
        <f>1*$H$8</f>
        <v>109</v>
      </c>
      <c r="BA102" s="12">
        <f>-1*$H$8</f>
        <v>-109</v>
      </c>
      <c r="BB102" s="13">
        <f>-1*$H$8</f>
        <v>-109</v>
      </c>
      <c r="BC102" s="12"/>
      <c r="BE102" s="11">
        <f t="shared" si="18"/>
        <v>126.27169644402609</v>
      </c>
      <c r="BF102" s="13">
        <f t="shared" si="19"/>
        <v>-139.29079278340348</v>
      </c>
    </row>
    <row r="103" spans="51:58">
      <c r="AY103" s="12"/>
      <c r="AZ103" s="11">
        <f>1*$H$8</f>
        <v>109</v>
      </c>
      <c r="BA103" s="12">
        <f>1*$H$8</f>
        <v>109</v>
      </c>
      <c r="BB103" s="13">
        <f>-1*$H$8</f>
        <v>-109</v>
      </c>
      <c r="BC103" s="12"/>
      <c r="BE103" s="11">
        <f t="shared" si="18"/>
        <v>88.416393712635269</v>
      </c>
      <c r="BF103" s="13">
        <f t="shared" si="19"/>
        <v>-25.523438007953573</v>
      </c>
    </row>
    <row r="104" spans="51:58">
      <c r="AY104" s="12"/>
      <c r="AZ104" s="24">
        <f>-1*$H$8</f>
        <v>-109</v>
      </c>
      <c r="BA104" s="4">
        <f>1*$H$8</f>
        <v>109</v>
      </c>
      <c r="BB104" s="13">
        <f>-1*$H$8</f>
        <v>-109</v>
      </c>
      <c r="BC104" s="12"/>
      <c r="BE104" s="11">
        <f t="shared" si="18"/>
        <v>-126.27169644402609</v>
      </c>
      <c r="BF104" s="13">
        <f t="shared" si="19"/>
        <v>-45.583692178697419</v>
      </c>
    </row>
    <row r="105" spans="51:58">
      <c r="AY105" s="12"/>
      <c r="AZ105" s="24">
        <f>-1*$H$8</f>
        <v>-109</v>
      </c>
      <c r="BA105" s="4">
        <f>-1*$H$8</f>
        <v>-109</v>
      </c>
      <c r="BB105" s="13">
        <f>-1*$H$8</f>
        <v>-109</v>
      </c>
      <c r="BC105" s="12"/>
      <c r="BE105" s="11">
        <f t="shared" si="18"/>
        <v>-88.416393712635269</v>
      </c>
      <c r="BF105" s="13">
        <f t="shared" si="19"/>
        <v>-159.35104695414731</v>
      </c>
    </row>
    <row r="106" spans="51:58">
      <c r="AY106" s="12"/>
      <c r="AZ106" s="24">
        <f>-1*$H$8</f>
        <v>-109</v>
      </c>
      <c r="BA106" s="4">
        <f>-1*$H$8</f>
        <v>-109</v>
      </c>
      <c r="BB106" s="13">
        <f>1*$H$8</f>
        <v>109</v>
      </c>
      <c r="BC106" s="12"/>
      <c r="BE106" s="11">
        <f t="shared" si="18"/>
        <v>-88.416393712635269</v>
      </c>
      <c r="BF106" s="13">
        <f t="shared" si="19"/>
        <v>25.523438007953573</v>
      </c>
    </row>
    <row r="107" spans="51:58">
      <c r="AY107" s="12"/>
      <c r="AZ107" s="24">
        <f>1*$H$8</f>
        <v>109</v>
      </c>
      <c r="BA107" s="4">
        <f>-1*$H$8</f>
        <v>-109</v>
      </c>
      <c r="BB107" s="13">
        <f>1*$H$8</f>
        <v>109</v>
      </c>
      <c r="BC107" s="12"/>
      <c r="BE107" s="11">
        <f t="shared" si="18"/>
        <v>126.27169644402609</v>
      </c>
      <c r="BF107" s="13">
        <f t="shared" si="19"/>
        <v>45.583692178697419</v>
      </c>
    </row>
    <row r="108" spans="51:58">
      <c r="AY108" s="12"/>
      <c r="AZ108" s="24">
        <f>1*$H$8</f>
        <v>109</v>
      </c>
      <c r="BA108" s="4">
        <f>1*$H$8</f>
        <v>109</v>
      </c>
      <c r="BB108" s="13">
        <f>1*$H$8</f>
        <v>109</v>
      </c>
      <c r="BC108" s="12"/>
      <c r="BE108" s="11">
        <f t="shared" si="18"/>
        <v>88.416393712635269</v>
      </c>
      <c r="BF108" s="13">
        <f t="shared" si="19"/>
        <v>159.35104695414731</v>
      </c>
    </row>
    <row r="109" spans="51:58">
      <c r="AY109" s="12"/>
      <c r="AZ109" s="24">
        <f>-1*$H$8</f>
        <v>-109</v>
      </c>
      <c r="BA109" s="4">
        <f>1*$H$8</f>
        <v>109</v>
      </c>
      <c r="BB109" s="13">
        <f>1*$H$8</f>
        <v>109</v>
      </c>
      <c r="BC109" s="12"/>
      <c r="BE109" s="11">
        <f t="shared" si="18"/>
        <v>-126.27169644402609</v>
      </c>
      <c r="BF109" s="13">
        <f t="shared" si="19"/>
        <v>139.29079278340348</v>
      </c>
    </row>
    <row r="110" spans="51:58">
      <c r="AY110" s="12"/>
      <c r="AZ110" s="24">
        <f>-1*$H$8</f>
        <v>-109</v>
      </c>
      <c r="BA110" s="4">
        <f>-1*$H$8</f>
        <v>-109</v>
      </c>
      <c r="BB110" s="13">
        <f>1*$H$8</f>
        <v>109</v>
      </c>
      <c r="BC110" s="12"/>
      <c r="BE110" s="11">
        <f t="shared" si="18"/>
        <v>-88.416393712635269</v>
      </c>
      <c r="BF110" s="13">
        <f t="shared" si="19"/>
        <v>25.523438007953573</v>
      </c>
    </row>
    <row r="111" spans="51:58">
      <c r="AZ111" s="11"/>
      <c r="BA111" s="12"/>
      <c r="BB111" s="13"/>
      <c r="BC111" s="12"/>
      <c r="BE111" s="11"/>
      <c r="BF111" s="13"/>
    </row>
    <row r="112" spans="51:58">
      <c r="AZ112" s="11">
        <f>-1*$H$8</f>
        <v>-109</v>
      </c>
      <c r="BA112" s="12">
        <f>1*$H$8</f>
        <v>109</v>
      </c>
      <c r="BB112" s="13">
        <f>1*$H$8</f>
        <v>109</v>
      </c>
      <c r="BC112" s="12"/>
      <c r="BE112" s="11">
        <f>(AZ112*_RMX1)+(BA112*_RMY1)+(BB112*_RMZ1)</f>
        <v>-126.27169644402609</v>
      </c>
      <c r="BF112" s="13">
        <f>(AZ112*_RMX2)+(BA112*_RMY2)+(BB112*_RMZ2)</f>
        <v>139.29079278340348</v>
      </c>
    </row>
    <row r="113" spans="52:58">
      <c r="AZ113" s="11">
        <f>-1*$H$8</f>
        <v>-109</v>
      </c>
      <c r="BA113" s="12">
        <f>1*$H$8</f>
        <v>109</v>
      </c>
      <c r="BB113" s="13">
        <f>-1*$H$8</f>
        <v>-109</v>
      </c>
      <c r="BC113" s="12"/>
      <c r="BE113" s="11">
        <f>(AZ113*_RMX1)+(BA113*_RMY1)+(BB113*_RMZ1)</f>
        <v>-126.27169644402609</v>
      </c>
      <c r="BF113" s="13">
        <f>(AZ113*_RMX2)+(BA113*_RMY2)+(BB113*_RMZ2)</f>
        <v>-45.583692178697419</v>
      </c>
    </row>
    <row r="114" spans="52:58">
      <c r="AZ114" s="11"/>
      <c r="BA114" s="12"/>
      <c r="BB114" s="13"/>
      <c r="BC114" s="12"/>
      <c r="BE114" s="11"/>
      <c r="BF114" s="13"/>
    </row>
    <row r="115" spans="52:58">
      <c r="AZ115" s="11">
        <f>1*$H$8</f>
        <v>109</v>
      </c>
      <c r="BA115" s="12">
        <f>1*$H$8</f>
        <v>109</v>
      </c>
      <c r="BB115" s="13">
        <f>-1*$H$8</f>
        <v>-109</v>
      </c>
      <c r="BC115" s="12"/>
      <c r="BE115" s="11">
        <f>(AZ115*_RMX1)+(BA115*_RMY1)+(BB115*_RMZ1)</f>
        <v>88.416393712635269</v>
      </c>
      <c r="BF115" s="13">
        <f>(AZ115*_RMX2)+(BA115*_RMY2)+(BB115*_RMZ2)</f>
        <v>-25.523438007953573</v>
      </c>
    </row>
    <row r="116" spans="52:58">
      <c r="AZ116" s="11">
        <f>1*$H$8</f>
        <v>109</v>
      </c>
      <c r="BA116" s="12">
        <f>1*$H$8</f>
        <v>109</v>
      </c>
      <c r="BB116" s="13">
        <f>1*$H$8</f>
        <v>109</v>
      </c>
      <c r="BC116" s="12"/>
      <c r="BE116" s="11">
        <f>(AZ116*_RMX1)+(BA116*_RMY1)+(BB116*_RMZ1)</f>
        <v>88.416393712635269</v>
      </c>
      <c r="BF116" s="13">
        <f>(AZ116*_RMX2)+(BA116*_RMY2)+(BB116*_RMZ2)</f>
        <v>159.35104695414731</v>
      </c>
    </row>
    <row r="117" spans="52:58">
      <c r="AZ117" s="11"/>
      <c r="BA117" s="12"/>
      <c r="BB117" s="13"/>
      <c r="BC117" s="12"/>
      <c r="BE117" s="11"/>
      <c r="BF117" s="13"/>
    </row>
    <row r="118" spans="52:58">
      <c r="AZ118" s="11">
        <f>1*$H$8</f>
        <v>109</v>
      </c>
      <c r="BA118" s="12">
        <f>-1*$H$8</f>
        <v>-109</v>
      </c>
      <c r="BB118" s="13">
        <f>1*$H$8</f>
        <v>109</v>
      </c>
      <c r="BC118" s="12"/>
      <c r="BE118" s="11">
        <f>(AZ118*_RMX1)+(BA118*_RMY1)+(BB118*_RMZ1)</f>
        <v>126.27169644402609</v>
      </c>
      <c r="BF118" s="13">
        <f>(AZ118*_RMX2)+(BA118*_RMY2)+(BB118*_RMZ2)</f>
        <v>45.583692178697419</v>
      </c>
    </row>
    <row r="119" spans="52:58">
      <c r="AZ119" s="20">
        <f>1*$H$8</f>
        <v>109</v>
      </c>
      <c r="BA119" s="21">
        <f>-1*$H$8</f>
        <v>-109</v>
      </c>
      <c r="BB119" s="22">
        <f>-1*$H$8</f>
        <v>-109</v>
      </c>
      <c r="BC119" s="12"/>
      <c r="BE119" s="20">
        <f>(AZ119*_RMX1)+(BA119*_RMY1)+(BB119*_RMZ1)</f>
        <v>126.27169644402609</v>
      </c>
      <c r="BF119" s="22">
        <f>(AZ119*_RMX2)+(BA119*_RMY2)+(BB119*_RMZ2)</f>
        <v>-139.29079278340348</v>
      </c>
    </row>
  </sheetData>
  <phoneticPr fontId="8"/>
  <conditionalFormatting sqref="N4:N9">
    <cfRule type="containsText" dxfId="0" priority="1" operator="containsText" text="TRUE">
      <formula>NOT(ISERROR(SEARCH("TRUE",N4)))</formula>
    </cfRule>
  </conditionalFormatting>
  <hyperlinks>
    <hyperlink ref="M1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3082" r:id="rId5" name="ScrollBar6">
          <controlPr defaultSize="0" autoLine="0" linkedCell="DATA!W32" r:id="rId6">
            <anchor moveWithCells="1">
              <from>
                <xdr:col>11</xdr:col>
                <xdr:colOff>165100</xdr:colOff>
                <xdr:row>13</xdr:row>
                <xdr:rowOff>69850</xdr:rowOff>
              </from>
              <to>
                <xdr:col>11</xdr:col>
                <xdr:colOff>469900</xdr:colOff>
                <xdr:row>31</xdr:row>
                <xdr:rowOff>6350</xdr:rowOff>
              </to>
            </anchor>
          </controlPr>
        </control>
      </mc:Choice>
      <mc:Fallback>
        <control shapeId="3082" r:id="rId5" name="ScrollBar6"/>
      </mc:Fallback>
    </mc:AlternateContent>
    <mc:AlternateContent xmlns:mc="http://schemas.openxmlformats.org/markup-compatibility/2006">
      <mc:Choice Requires="x14">
        <control shapeId="3081" r:id="rId7" name="ScrollBar5">
          <controlPr defaultSize="0" autoLine="0" linkedCell="DATA!V32" r:id="rId8">
            <anchor moveWithCells="1">
              <from>
                <xdr:col>10</xdr:col>
                <xdr:colOff>165100</xdr:colOff>
                <xdr:row>13</xdr:row>
                <xdr:rowOff>76200</xdr:rowOff>
              </from>
              <to>
                <xdr:col>10</xdr:col>
                <xdr:colOff>469900</xdr:colOff>
                <xdr:row>31</xdr:row>
                <xdr:rowOff>12700</xdr:rowOff>
              </to>
            </anchor>
          </controlPr>
        </control>
      </mc:Choice>
      <mc:Fallback>
        <control shapeId="3081" r:id="rId7" name="ScrollBar5"/>
      </mc:Fallback>
    </mc:AlternateContent>
    <mc:AlternateContent xmlns:mc="http://schemas.openxmlformats.org/markup-compatibility/2006">
      <mc:Choice Requires="x14">
        <control shapeId="3080" r:id="rId9" name="ScrollBar10">
          <controlPr defaultSize="0" autoLine="0" linkedCell="DATA!U32" r:id="rId10">
            <anchor moveWithCells="1">
              <from>
                <xdr:col>9</xdr:col>
                <xdr:colOff>184150</xdr:colOff>
                <xdr:row>13</xdr:row>
                <xdr:rowOff>76200</xdr:rowOff>
              </from>
              <to>
                <xdr:col>9</xdr:col>
                <xdr:colOff>488950</xdr:colOff>
                <xdr:row>31</xdr:row>
                <xdr:rowOff>12700</xdr:rowOff>
              </to>
            </anchor>
          </controlPr>
        </control>
      </mc:Choice>
      <mc:Fallback>
        <control shapeId="3080" r:id="rId9" name="ScrollBar10"/>
      </mc:Fallback>
    </mc:AlternateContent>
    <mc:AlternateContent xmlns:mc="http://schemas.openxmlformats.org/markup-compatibility/2006">
      <mc:Choice Requires="x14">
        <control shapeId="3079" r:id="rId11" name="ScrollBar9">
          <controlPr defaultSize="0" autoLine="0" linkedCell="DATA!T32" r:id="rId12">
            <anchor moveWithCells="1">
              <from>
                <xdr:col>8</xdr:col>
                <xdr:colOff>171450</xdr:colOff>
                <xdr:row>13</xdr:row>
                <xdr:rowOff>76200</xdr:rowOff>
              </from>
              <to>
                <xdr:col>8</xdr:col>
                <xdr:colOff>476250</xdr:colOff>
                <xdr:row>31</xdr:row>
                <xdr:rowOff>12700</xdr:rowOff>
              </to>
            </anchor>
          </controlPr>
        </control>
      </mc:Choice>
      <mc:Fallback>
        <control shapeId="3079" r:id="rId11" name="ScrollBar9"/>
      </mc:Fallback>
    </mc:AlternateContent>
    <mc:AlternateContent xmlns:mc="http://schemas.openxmlformats.org/markup-compatibility/2006">
      <mc:Choice Requires="x14">
        <control shapeId="3078" r:id="rId13" name="ScrollBar8">
          <controlPr defaultSize="0" autoLine="0" linkedCell="DATA!S32" r:id="rId14">
            <anchor moveWithCells="1">
              <from>
                <xdr:col>7</xdr:col>
                <xdr:colOff>190500</xdr:colOff>
                <xdr:row>13</xdr:row>
                <xdr:rowOff>76200</xdr:rowOff>
              </from>
              <to>
                <xdr:col>7</xdr:col>
                <xdr:colOff>495300</xdr:colOff>
                <xdr:row>31</xdr:row>
                <xdr:rowOff>12700</xdr:rowOff>
              </to>
            </anchor>
          </controlPr>
        </control>
      </mc:Choice>
      <mc:Fallback>
        <control shapeId="3078" r:id="rId13" name="ScrollBar8"/>
      </mc:Fallback>
    </mc:AlternateContent>
    <mc:AlternateContent xmlns:mc="http://schemas.openxmlformats.org/markup-compatibility/2006">
      <mc:Choice Requires="x14">
        <control shapeId="3077" r:id="rId15" name="ScrollBar7">
          <controlPr defaultSize="0" autoLine="0" autoPict="0" linkedCell="DATA!R32" r:id="rId16">
            <anchor moveWithCells="1">
              <from>
                <xdr:col>6</xdr:col>
                <xdr:colOff>450850</xdr:colOff>
                <xdr:row>13</xdr:row>
                <xdr:rowOff>0</xdr:rowOff>
              </from>
              <to>
                <xdr:col>6</xdr:col>
                <xdr:colOff>654050</xdr:colOff>
                <xdr:row>30</xdr:row>
                <xdr:rowOff>25400</xdr:rowOff>
              </to>
            </anchor>
          </controlPr>
        </control>
      </mc:Choice>
      <mc:Fallback>
        <control shapeId="3077" r:id="rId15" name="ScrollBar7"/>
      </mc:Fallback>
    </mc:AlternateContent>
    <mc:AlternateContent xmlns:mc="http://schemas.openxmlformats.org/markup-compatibility/2006">
      <mc:Choice Requires="x14">
        <control shapeId="3076" r:id="rId17" name="ScrollBar4">
          <controlPr defaultSize="0" autoLine="0" linkedCell="H8" r:id="rId18">
            <anchor moveWithCells="1">
              <from>
                <xdr:col>8</xdr:col>
                <xdr:colOff>57150</xdr:colOff>
                <xdr:row>7</xdr:row>
                <xdr:rowOff>6350</xdr:rowOff>
              </from>
              <to>
                <xdr:col>10</xdr:col>
                <xdr:colOff>44450</xdr:colOff>
                <xdr:row>8</xdr:row>
                <xdr:rowOff>12700</xdr:rowOff>
              </to>
            </anchor>
          </controlPr>
        </control>
      </mc:Choice>
      <mc:Fallback>
        <control shapeId="3076" r:id="rId17" name="ScrollBar4"/>
      </mc:Fallback>
    </mc:AlternateContent>
    <mc:AlternateContent xmlns:mc="http://schemas.openxmlformats.org/markup-compatibility/2006">
      <mc:Choice Requires="x14">
        <control shapeId="3073" r:id="rId19" name="ScrollBar1">
          <controlPr defaultSize="0" autoLine="0" linkedCell="H5" r:id="rId20">
            <anchor moveWithCells="1">
              <from>
                <xdr:col>8</xdr:col>
                <xdr:colOff>57150</xdr:colOff>
                <xdr:row>4</xdr:row>
                <xdr:rowOff>6350</xdr:rowOff>
              </from>
              <to>
                <xdr:col>10</xdr:col>
                <xdr:colOff>44450</xdr:colOff>
                <xdr:row>5</xdr:row>
                <xdr:rowOff>12700</xdr:rowOff>
              </to>
            </anchor>
          </controlPr>
        </control>
      </mc:Choice>
      <mc:Fallback>
        <control shapeId="3073" r:id="rId19" name="ScrollBar1"/>
      </mc:Fallback>
    </mc:AlternateContent>
    <mc:AlternateContent xmlns:mc="http://schemas.openxmlformats.org/markup-compatibility/2006">
      <mc:Choice Requires="x14">
        <control shapeId="3074" r:id="rId21" name="ScrollBar2">
          <controlPr defaultSize="0" autoLine="0" linkedCell="H6" r:id="rId22">
            <anchor moveWithCells="1">
              <from>
                <xdr:col>8</xdr:col>
                <xdr:colOff>57150</xdr:colOff>
                <xdr:row>5</xdr:row>
                <xdr:rowOff>6350</xdr:rowOff>
              </from>
              <to>
                <xdr:col>10</xdr:col>
                <xdr:colOff>44450</xdr:colOff>
                <xdr:row>6</xdr:row>
                <xdr:rowOff>12700</xdr:rowOff>
              </to>
            </anchor>
          </controlPr>
        </control>
      </mc:Choice>
      <mc:Fallback>
        <control shapeId="3074" r:id="rId21" name="ScrollBar2"/>
      </mc:Fallback>
    </mc:AlternateContent>
    <mc:AlternateContent xmlns:mc="http://schemas.openxmlformats.org/markup-compatibility/2006">
      <mc:Choice Requires="x14">
        <control shapeId="3075" r:id="rId23" name="ScrollBar3">
          <controlPr defaultSize="0" autoLine="0" linkedCell="H7" r:id="rId24">
            <anchor moveWithCells="1">
              <from>
                <xdr:col>8</xdr:col>
                <xdr:colOff>57150</xdr:colOff>
                <xdr:row>6</xdr:row>
                <xdr:rowOff>6350</xdr:rowOff>
              </from>
              <to>
                <xdr:col>10</xdr:col>
                <xdr:colOff>44450</xdr:colOff>
                <xdr:row>7</xdr:row>
                <xdr:rowOff>12700</xdr:rowOff>
              </to>
            </anchor>
          </controlPr>
        </control>
      </mc:Choice>
      <mc:Fallback>
        <control shapeId="3075" r:id="rId23" name="ScrollBar3"/>
      </mc:Fallback>
    </mc:AlternateContent>
    <mc:AlternateContent xmlns:mc="http://schemas.openxmlformats.org/markup-compatibility/2006">
      <mc:Choice Requires="x14">
        <control shapeId="3083" r:id="rId25" name="Button 11">
          <controlPr defaultSize="0" print="0" autoFill="0" autoPict="0" macro="[0]!AboutZ">
            <anchor moveWithCells="1" sizeWithCells="1">
              <from>
                <xdr:col>13</xdr:col>
                <xdr:colOff>69850</xdr:colOff>
                <xdr:row>17</xdr:row>
                <xdr:rowOff>63500</xdr:rowOff>
              </from>
              <to>
                <xdr:col>13</xdr:col>
                <xdr:colOff>361950</xdr:colOff>
                <xdr:row>19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26" name="Button 12">
          <controlPr defaultSize="0" print="0" autoFill="0" autoPict="0" macro="[0]!AboutX">
            <anchor moveWithCells="1" sizeWithCells="1">
              <from>
                <xdr:col>14</xdr:col>
                <xdr:colOff>69850</xdr:colOff>
                <xdr:row>17</xdr:row>
                <xdr:rowOff>69850</xdr:rowOff>
              </from>
              <to>
                <xdr:col>14</xdr:col>
                <xdr:colOff>361950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27" name="Button 13">
          <controlPr defaultSize="0" print="0" autoFill="0" autoPict="0" macro="[0]!AboutY">
            <anchor moveWithCells="1" sizeWithCells="1">
              <from>
                <xdr:col>15</xdr:col>
                <xdr:colOff>88900</xdr:colOff>
                <xdr:row>17</xdr:row>
                <xdr:rowOff>69850</xdr:rowOff>
              </from>
              <to>
                <xdr:col>15</xdr:col>
                <xdr:colOff>381000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28" name="Button 14">
          <controlPr defaultSize="0" print="0" autoFill="0" autoPict="0" macro="[0]!ISO">
            <anchor moveWithCells="1" sizeWithCells="1">
              <from>
                <xdr:col>16</xdr:col>
                <xdr:colOff>69850</xdr:colOff>
                <xdr:row>17</xdr:row>
                <xdr:rowOff>76200</xdr:rowOff>
              </from>
              <to>
                <xdr:col>16</xdr:col>
                <xdr:colOff>361950</xdr:colOff>
                <xdr:row>19</xdr:row>
                <xdr:rowOff>101600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29" name="Button 15">
          <controlPr defaultSize="0" print="0" autoFill="0" autoPict="0" macro="[0]!HomePlatform">
            <anchor moveWithCells="1" sizeWithCells="1">
              <from>
                <xdr:col>6</xdr:col>
                <xdr:colOff>495300</xdr:colOff>
                <xdr:row>31</xdr:row>
                <xdr:rowOff>76200</xdr:rowOff>
              </from>
              <to>
                <xdr:col>8</xdr:col>
                <xdr:colOff>76200</xdr:colOff>
                <xdr:row>34</xdr:row>
                <xdr:rowOff>25400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58"/>
  <sheetViews>
    <sheetView topLeftCell="O1" zoomScale="70" zoomScaleNormal="70" workbookViewId="0">
      <selection activeCell="R6" sqref="R6"/>
    </sheetView>
  </sheetViews>
  <sheetFormatPr baseColWidth="10" defaultColWidth="8.7265625" defaultRowHeight="12.5"/>
  <cols>
    <col min="6" max="6" width="17.81640625" customWidth="1"/>
    <col min="10" max="10" width="17.81640625" style="53" bestFit="1" customWidth="1"/>
    <col min="11" max="14" width="10.7265625" style="53" customWidth="1"/>
    <col min="15" max="15" width="20.1796875" customWidth="1"/>
    <col min="16" max="16" width="50" customWidth="1"/>
    <col min="17" max="17" width="12.453125" bestFit="1" customWidth="1"/>
    <col min="19" max="21" width="11.453125" customWidth="1"/>
    <col min="22" max="22" width="12.81640625" customWidth="1"/>
    <col min="23" max="23" width="11.453125" customWidth="1"/>
  </cols>
  <sheetData>
    <row r="1" spans="1:23" ht="13" thickBot="1"/>
    <row r="2" spans="1:23">
      <c r="A2" s="31" t="s">
        <v>40</v>
      </c>
      <c r="B2" s="32"/>
      <c r="C2" s="32"/>
      <c r="D2" s="32"/>
      <c r="E2" s="32"/>
      <c r="F2" s="32"/>
      <c r="G2" s="32"/>
      <c r="H2" s="33"/>
      <c r="J2" s="54" t="s">
        <v>91</v>
      </c>
      <c r="K2" s="55" t="s">
        <v>18</v>
      </c>
      <c r="L2" s="55" t="s">
        <v>19</v>
      </c>
      <c r="M2" s="55" t="s">
        <v>20</v>
      </c>
      <c r="N2" s="56" t="s">
        <v>109</v>
      </c>
      <c r="P2" s="31" t="s">
        <v>119</v>
      </c>
      <c r="Q2" s="32" t="s">
        <v>0</v>
      </c>
      <c r="R2" s="70">
        <v>15</v>
      </c>
      <c r="S2" s="32"/>
      <c r="T2" s="32"/>
      <c r="U2" s="32"/>
      <c r="V2" s="32"/>
      <c r="W2" s="33"/>
    </row>
    <row r="3" spans="1:23">
      <c r="A3" s="34"/>
      <c r="B3" s="1"/>
      <c r="C3" s="1"/>
      <c r="E3" s="1"/>
      <c r="F3" s="1"/>
      <c r="G3" s="1"/>
      <c r="H3" s="35"/>
      <c r="J3" s="57">
        <v>1</v>
      </c>
      <c r="K3" s="58">
        <f t="shared" ref="K3:K8" si="0">G30</f>
        <v>34.47199994035401</v>
      </c>
      <c r="L3" s="59">
        <f t="shared" ref="L3:L8" si="1">G36</f>
        <v>28.925442435894265</v>
      </c>
      <c r="M3" s="59">
        <v>0</v>
      </c>
      <c r="N3" s="60"/>
      <c r="P3" s="34" t="s">
        <v>120</v>
      </c>
      <c r="Q3" s="1" t="s">
        <v>1</v>
      </c>
      <c r="R3" s="72">
        <v>180</v>
      </c>
      <c r="S3" s="69">
        <v>-120</v>
      </c>
      <c r="T3" s="69">
        <v>60</v>
      </c>
      <c r="U3" s="69">
        <v>120</v>
      </c>
      <c r="V3" s="69">
        <v>-60</v>
      </c>
      <c r="W3" s="71">
        <v>0</v>
      </c>
    </row>
    <row r="4" spans="1:23">
      <c r="A4" s="34"/>
      <c r="B4" s="1"/>
      <c r="C4" s="1"/>
      <c r="E4" s="1"/>
      <c r="F4" s="1"/>
      <c r="G4" s="1"/>
      <c r="H4" s="35"/>
      <c r="J4" s="57">
        <v>2</v>
      </c>
      <c r="K4" s="58">
        <f t="shared" si="0"/>
        <v>42.286167935365881</v>
      </c>
      <c r="L4" s="59">
        <f t="shared" si="1"/>
        <v>15.390906449655089</v>
      </c>
      <c r="M4" s="59">
        <v>0</v>
      </c>
      <c r="N4" s="60"/>
      <c r="P4" s="34" t="s">
        <v>118</v>
      </c>
      <c r="Q4" s="1" t="s">
        <v>2</v>
      </c>
      <c r="R4" s="67">
        <v>10</v>
      </c>
      <c r="S4" s="1"/>
      <c r="T4" s="1"/>
      <c r="U4" s="1"/>
      <c r="V4" s="1"/>
      <c r="W4" s="35"/>
    </row>
    <row r="5" spans="1:23">
      <c r="A5" s="34"/>
      <c r="B5" s="1"/>
      <c r="C5" s="1"/>
      <c r="D5" s="1"/>
      <c r="E5" s="1"/>
      <c r="F5" s="1"/>
      <c r="G5" s="1"/>
      <c r="H5" s="35"/>
      <c r="J5" s="57">
        <v>3</v>
      </c>
      <c r="K5" s="58">
        <f t="shared" si="0"/>
        <v>7.8141679950118688</v>
      </c>
      <c r="L5" s="59">
        <f t="shared" si="1"/>
        <v>-44.31634888554936</v>
      </c>
      <c r="M5" s="59">
        <v>0</v>
      </c>
      <c r="N5" s="60"/>
      <c r="P5" s="34" t="s">
        <v>117</v>
      </c>
      <c r="Q5" s="1" t="s">
        <v>3</v>
      </c>
      <c r="R5" s="67">
        <v>30</v>
      </c>
      <c r="S5" s="1"/>
      <c r="T5" s="1"/>
      <c r="U5" s="1"/>
      <c r="V5" s="1"/>
      <c r="W5" s="35"/>
    </row>
    <row r="6" spans="1:23">
      <c r="A6" s="34"/>
      <c r="B6" s="1"/>
      <c r="C6" s="1"/>
      <c r="D6" s="1"/>
      <c r="E6" s="1"/>
      <c r="F6" s="1"/>
      <c r="G6" s="1"/>
      <c r="H6" s="35"/>
      <c r="J6" s="57">
        <v>4</v>
      </c>
      <c r="K6" s="58">
        <f t="shared" si="0"/>
        <v>-7.8141679950118688</v>
      </c>
      <c r="L6" s="59">
        <f t="shared" si="1"/>
        <v>-44.31634888554936</v>
      </c>
      <c r="M6" s="59">
        <v>0</v>
      </c>
      <c r="N6" s="60"/>
      <c r="P6" s="34" t="s">
        <v>116</v>
      </c>
      <c r="Q6" s="1" t="s">
        <v>4</v>
      </c>
      <c r="R6" s="67">
        <v>45</v>
      </c>
      <c r="S6" s="1"/>
      <c r="T6" s="1"/>
      <c r="U6" s="1"/>
      <c r="V6" s="1"/>
      <c r="W6" s="35"/>
    </row>
    <row r="7" spans="1:23">
      <c r="A7" s="34"/>
      <c r="B7" s="1"/>
      <c r="C7" s="1" t="s">
        <v>4</v>
      </c>
      <c r="D7" s="1" t="s">
        <v>113</v>
      </c>
      <c r="E7" s="1" t="s">
        <v>17</v>
      </c>
      <c r="F7" s="1"/>
      <c r="G7" s="1"/>
      <c r="H7" s="35"/>
      <c r="J7" s="57">
        <v>5</v>
      </c>
      <c r="K7" s="58">
        <f t="shared" si="0"/>
        <v>-42.286167935365881</v>
      </c>
      <c r="L7" s="59">
        <f t="shared" si="1"/>
        <v>15.390906449655089</v>
      </c>
      <c r="M7" s="59">
        <v>0</v>
      </c>
      <c r="N7" s="60"/>
      <c r="P7" s="34" t="s">
        <v>121</v>
      </c>
      <c r="Q7" s="1" t="s">
        <v>5</v>
      </c>
      <c r="R7" s="67">
        <v>30</v>
      </c>
      <c r="S7" s="1"/>
      <c r="T7" s="1"/>
      <c r="U7" s="1"/>
      <c r="V7" s="1"/>
      <c r="W7" s="35"/>
    </row>
    <row r="8" spans="1:23">
      <c r="A8" s="34" t="s">
        <v>18</v>
      </c>
      <c r="B8" s="1" t="s">
        <v>21</v>
      </c>
      <c r="C8" s="1">
        <f>$R$5</f>
        <v>30</v>
      </c>
      <c r="D8" s="1">
        <f>PI()/6</f>
        <v>0.52359877559829882</v>
      </c>
      <c r="E8" s="1">
        <f>D8+RADIANS(R2)</f>
        <v>0.78539816339744828</v>
      </c>
      <c r="F8" s="1"/>
      <c r="G8" s="1">
        <f t="shared" ref="G8:G13" si="2">C8*COS(E8)</f>
        <v>21.213203435596427</v>
      </c>
      <c r="H8" s="35">
        <f>DEGREES(E8)</f>
        <v>45</v>
      </c>
      <c r="J8" s="57">
        <v>6</v>
      </c>
      <c r="K8" s="58">
        <f t="shared" si="0"/>
        <v>-34.47199994035401</v>
      </c>
      <c r="L8" s="59">
        <f t="shared" si="1"/>
        <v>28.925442435894265</v>
      </c>
      <c r="M8" s="59">
        <v>0</v>
      </c>
      <c r="N8" s="60"/>
      <c r="P8" s="34" t="s">
        <v>122</v>
      </c>
      <c r="Q8" s="1" t="s">
        <v>6</v>
      </c>
      <c r="R8" s="67">
        <v>140</v>
      </c>
      <c r="S8" s="1"/>
      <c r="T8" s="1"/>
      <c r="U8" s="1"/>
      <c r="V8" s="1"/>
      <c r="W8" s="35"/>
    </row>
    <row r="9" spans="1:23" ht="13" thickBot="1">
      <c r="A9" s="34"/>
      <c r="B9" s="1" t="s">
        <v>22</v>
      </c>
      <c r="C9" s="1">
        <f>$R$5</f>
        <v>30</v>
      </c>
      <c r="D9" s="1">
        <f>PI()/6</f>
        <v>0.52359877559829882</v>
      </c>
      <c r="E9" s="1">
        <f>D9-RADIANS(R2)</f>
        <v>0.26179938779914941</v>
      </c>
      <c r="F9" s="1"/>
      <c r="G9" s="1">
        <f t="shared" si="2"/>
        <v>28.97777478867205</v>
      </c>
      <c r="H9" s="35">
        <f t="shared" ref="H9:H19" si="3">DEGREES(E9)</f>
        <v>14.999999999999998</v>
      </c>
      <c r="J9" s="61"/>
      <c r="K9" s="62"/>
      <c r="L9" s="62"/>
      <c r="M9" s="62"/>
      <c r="N9" s="63"/>
      <c r="P9" s="34" t="s">
        <v>8</v>
      </c>
      <c r="Q9" s="1" t="s">
        <v>7</v>
      </c>
      <c r="R9" s="68">
        <v>135</v>
      </c>
      <c r="S9" s="1"/>
      <c r="T9" s="1"/>
      <c r="U9" s="1"/>
      <c r="V9" s="1"/>
      <c r="W9" s="35"/>
    </row>
    <row r="10" spans="1:23" ht="13" thickBot="1">
      <c r="A10" s="34"/>
      <c r="B10" s="1" t="s">
        <v>23</v>
      </c>
      <c r="C10" s="1">
        <f>$R$5</f>
        <v>30</v>
      </c>
      <c r="D10" s="1">
        <f>-PI()/2</f>
        <v>-1.5707963267948966</v>
      </c>
      <c r="E10" s="1">
        <f>D10+RADIANS(R2)</f>
        <v>-1.3089969389957472</v>
      </c>
      <c r="F10" s="1"/>
      <c r="G10" s="1">
        <f t="shared" si="2"/>
        <v>7.7645713530756222</v>
      </c>
      <c r="H10" s="35">
        <f t="shared" si="3"/>
        <v>-75</v>
      </c>
      <c r="P10" s="34" t="s">
        <v>9</v>
      </c>
      <c r="Q10" s="1" t="s">
        <v>39</v>
      </c>
      <c r="R10" s="39">
        <f>R32-30</f>
        <v>3</v>
      </c>
      <c r="S10" s="39">
        <f>S32-30</f>
        <v>-1</v>
      </c>
      <c r="T10" s="39">
        <f>T32-20</f>
        <v>0</v>
      </c>
      <c r="U10" s="39">
        <f>(U32-30)*(PI()/180)</f>
        <v>0.33161255787892263</v>
      </c>
      <c r="V10" s="39">
        <f>(V32-30)*(PI()/180)</f>
        <v>0</v>
      </c>
      <c r="W10" s="40">
        <f>(W32-30)*(PI()/180)</f>
        <v>1.7453292519943295E-2</v>
      </c>
    </row>
    <row r="11" spans="1:23" ht="13" thickBot="1">
      <c r="A11" s="34"/>
      <c r="B11" s="1" t="s">
        <v>24</v>
      </c>
      <c r="C11" s="1">
        <f>$R$5*-1</f>
        <v>-30</v>
      </c>
      <c r="D11" s="1">
        <f>-PI()/2</f>
        <v>-1.5707963267948966</v>
      </c>
      <c r="E11" s="1">
        <f>D11+RADIANS(R2)</f>
        <v>-1.3089969389957472</v>
      </c>
      <c r="F11" s="1"/>
      <c r="G11" s="1">
        <f t="shared" si="2"/>
        <v>-7.7645713530756222</v>
      </c>
      <c r="H11" s="35">
        <f t="shared" si="3"/>
        <v>-75</v>
      </c>
      <c r="J11" s="54" t="s">
        <v>92</v>
      </c>
      <c r="K11" s="55" t="s">
        <v>18</v>
      </c>
      <c r="L11" s="55" t="s">
        <v>19</v>
      </c>
      <c r="M11" s="55" t="s">
        <v>20</v>
      </c>
      <c r="N11" s="56"/>
      <c r="P11" s="36"/>
      <c r="Q11" s="37"/>
      <c r="R11" s="52"/>
      <c r="S11" s="52"/>
      <c r="T11" s="52"/>
      <c r="U11" s="52"/>
      <c r="V11" s="52"/>
      <c r="W11" s="46"/>
    </row>
    <row r="12" spans="1:23">
      <c r="A12" s="34"/>
      <c r="B12" s="1" t="s">
        <v>25</v>
      </c>
      <c r="C12" s="1">
        <f>$R$5*-1</f>
        <v>-30</v>
      </c>
      <c r="D12" s="1">
        <f>PI()/6</f>
        <v>0.52359877559829882</v>
      </c>
      <c r="E12" s="1">
        <f>D12-RADIANS(R2)</f>
        <v>0.26179938779914941</v>
      </c>
      <c r="F12" s="1"/>
      <c r="G12" s="1">
        <f t="shared" si="2"/>
        <v>-28.97777478867205</v>
      </c>
      <c r="H12" s="35">
        <f t="shared" si="3"/>
        <v>14.999999999999998</v>
      </c>
      <c r="J12" s="57">
        <v>1</v>
      </c>
      <c r="K12" s="58">
        <f t="shared" ref="K12:K17" si="4">G8*COS($V$10)*COS($W$10)+G14*(SIN($U$10)*SIN($V$10)*COS($V$10)-COS($U$10)*SIN($W$10))+$R$10</f>
        <v>23.859921305611259</v>
      </c>
      <c r="L12" s="58">
        <f t="shared" ref="L12:L17" si="5">G8*COS($V$10)*SIN($W$10)+G14*(COS($U$10)*COS($W$10)+SIN($U$10)*SIN($V$10)*SIN($W$10))+$S$10</f>
        <v>19.424644493484287</v>
      </c>
      <c r="M12" s="58">
        <f t="shared" ref="M12:M17" si="6">-G8*SIN($V$10)+G14*SIN($U$10)*COS($V$10)+$R$9+$T$10</f>
        <v>141.90634349265133</v>
      </c>
      <c r="N12" s="60" t="s">
        <v>108</v>
      </c>
      <c r="P12" s="31"/>
      <c r="Q12" s="32"/>
      <c r="R12" s="32"/>
      <c r="S12" s="32"/>
      <c r="T12" s="32"/>
      <c r="U12" s="32"/>
      <c r="V12" s="32"/>
      <c r="W12" s="33"/>
    </row>
    <row r="13" spans="1:23">
      <c r="A13" s="34"/>
      <c r="B13" s="1" t="s">
        <v>26</v>
      </c>
      <c r="C13" s="1">
        <f>$R$5*-1</f>
        <v>-30</v>
      </c>
      <c r="D13" s="1">
        <f>PI()/6</f>
        <v>0.52359877559829882</v>
      </c>
      <c r="E13" s="1">
        <f>D13+RADIANS(R2)</f>
        <v>0.78539816339744828</v>
      </c>
      <c r="F13" s="1"/>
      <c r="G13" s="1">
        <f t="shared" si="2"/>
        <v>-21.213203435596427</v>
      </c>
      <c r="H13" s="35">
        <f t="shared" si="3"/>
        <v>45</v>
      </c>
      <c r="J13" s="57">
        <v>2</v>
      </c>
      <c r="K13" s="58">
        <f t="shared" si="4"/>
        <v>31.845233680762703</v>
      </c>
      <c r="L13" s="58">
        <f t="shared" si="5"/>
        <v>6.8461601960760055</v>
      </c>
      <c r="M13" s="58">
        <f t="shared" si="6"/>
        <v>137.52789716557174</v>
      </c>
      <c r="N13" s="60"/>
      <c r="P13" s="34"/>
      <c r="Q13" s="1"/>
      <c r="R13" s="1"/>
      <c r="S13" s="1"/>
      <c r="T13" s="1"/>
      <c r="U13" s="1"/>
      <c r="V13" s="1"/>
      <c r="W13" s="35"/>
    </row>
    <row r="14" spans="1:23" ht="25">
      <c r="A14" s="34" t="s">
        <v>19</v>
      </c>
      <c r="B14" s="1" t="s">
        <v>27</v>
      </c>
      <c r="C14" s="1">
        <f t="shared" ref="C14:C19" si="7">$R$5</f>
        <v>30</v>
      </c>
      <c r="D14" s="1">
        <f>PI()/6</f>
        <v>0.52359877559829882</v>
      </c>
      <c r="E14" s="1">
        <f>D14+RADIANS(R2)</f>
        <v>0.78539816339744828</v>
      </c>
      <c r="F14" s="1"/>
      <c r="G14" s="1">
        <f t="shared" ref="G14:G19" si="8">C14*SIN(E14)</f>
        <v>21.213203435596423</v>
      </c>
      <c r="H14" s="35">
        <f t="shared" si="3"/>
        <v>45</v>
      </c>
      <c r="J14" s="57">
        <v>3</v>
      </c>
      <c r="K14" s="58">
        <f t="shared" si="4"/>
        <v>11.241567680055503</v>
      </c>
      <c r="L14" s="58">
        <f t="shared" si="5"/>
        <v>-28.259340883040355</v>
      </c>
      <c r="M14" s="58">
        <f t="shared" si="6"/>
        <v>125.56575934177691</v>
      </c>
      <c r="N14" s="60"/>
      <c r="P14" s="73" t="s">
        <v>124</v>
      </c>
      <c r="Q14" s="1"/>
      <c r="R14" s="1"/>
      <c r="S14" s="1"/>
      <c r="T14" s="1"/>
      <c r="U14" s="1"/>
      <c r="V14" s="1"/>
      <c r="W14" s="35"/>
    </row>
    <row r="15" spans="1:23">
      <c r="A15" s="34"/>
      <c r="B15" s="1" t="s">
        <v>28</v>
      </c>
      <c r="C15" s="1">
        <f t="shared" si="7"/>
        <v>30</v>
      </c>
      <c r="D15" s="1">
        <f>PI()/6</f>
        <v>0.52359877559829882</v>
      </c>
      <c r="E15" s="1">
        <f>D15-RADIANS(R2)</f>
        <v>0.26179938779914941</v>
      </c>
      <c r="F15" s="1"/>
      <c r="G15" s="1">
        <f t="shared" si="8"/>
        <v>7.7645713530756222</v>
      </c>
      <c r="H15" s="35">
        <f t="shared" si="3"/>
        <v>14.999999999999998</v>
      </c>
      <c r="J15" s="57">
        <v>4</v>
      </c>
      <c r="K15" s="58">
        <f t="shared" si="4"/>
        <v>-4.2852098624445034</v>
      </c>
      <c r="L15" s="58">
        <f t="shared" si="5"/>
        <v>-28.53036179317068</v>
      </c>
      <c r="M15" s="58">
        <f t="shared" si="6"/>
        <v>125.56575934177691</v>
      </c>
      <c r="N15" s="60"/>
      <c r="P15" s="34"/>
      <c r="Q15" s="1"/>
      <c r="R15" s="1"/>
      <c r="S15" s="1"/>
      <c r="T15" s="1"/>
      <c r="U15" s="1"/>
      <c r="V15" s="1"/>
      <c r="W15" s="35"/>
    </row>
    <row r="16" spans="1:23" ht="20">
      <c r="A16" s="34"/>
      <c r="B16" s="1" t="s">
        <v>29</v>
      </c>
      <c r="C16" s="1">
        <f t="shared" si="7"/>
        <v>30</v>
      </c>
      <c r="D16" s="1">
        <f>-PI()/2</f>
        <v>-1.5707963267948966</v>
      </c>
      <c r="E16" s="1">
        <f>D16+RADIANS(R2)</f>
        <v>-1.3089969389957472</v>
      </c>
      <c r="F16" s="1"/>
      <c r="G16" s="1">
        <f t="shared" si="8"/>
        <v>-28.97777478867205</v>
      </c>
      <c r="H16" s="35">
        <f t="shared" si="3"/>
        <v>-75</v>
      </c>
      <c r="J16" s="57">
        <v>5</v>
      </c>
      <c r="K16" s="58">
        <f t="shared" si="4"/>
        <v>-26.101488985666762</v>
      </c>
      <c r="L16" s="58">
        <f t="shared" si="5"/>
        <v>5.8346963895560622</v>
      </c>
      <c r="M16" s="58">
        <f t="shared" si="6"/>
        <v>137.52789716557174</v>
      </c>
      <c r="N16" s="60"/>
      <c r="P16" s="74" t="s">
        <v>123</v>
      </c>
      <c r="Q16" s="1"/>
      <c r="R16" s="1"/>
      <c r="S16" s="1"/>
      <c r="T16" s="1"/>
      <c r="U16" s="1"/>
      <c r="V16" s="1"/>
      <c r="W16" s="35"/>
    </row>
    <row r="17" spans="1:23">
      <c r="A17" s="34"/>
      <c r="B17" s="1" t="s">
        <v>30</v>
      </c>
      <c r="C17" s="1">
        <f t="shared" si="7"/>
        <v>30</v>
      </c>
      <c r="D17" s="1">
        <f>-PI()/2</f>
        <v>-1.5707963267948966</v>
      </c>
      <c r="E17" s="1">
        <f>D17+RADIANS(R2)</f>
        <v>-1.3089969389957472</v>
      </c>
      <c r="F17" s="1"/>
      <c r="G17" s="1">
        <f t="shared" si="8"/>
        <v>-28.97777478867205</v>
      </c>
      <c r="H17" s="35">
        <f t="shared" si="3"/>
        <v>-75</v>
      </c>
      <c r="J17" s="57">
        <v>6</v>
      </c>
      <c r="K17" s="58">
        <f t="shared" si="4"/>
        <v>-18.5600238183182</v>
      </c>
      <c r="L17" s="58">
        <f t="shared" si="5"/>
        <v>18.68420159709467</v>
      </c>
      <c r="M17" s="58">
        <f t="shared" si="6"/>
        <v>141.90634349265133</v>
      </c>
      <c r="N17" s="60"/>
      <c r="P17" s="34"/>
      <c r="Q17" s="1"/>
      <c r="R17" s="1"/>
      <c r="S17" s="1"/>
      <c r="T17" s="1"/>
      <c r="U17" s="1"/>
      <c r="V17" s="1"/>
      <c r="W17" s="35"/>
    </row>
    <row r="18" spans="1:23">
      <c r="A18" s="34"/>
      <c r="B18" s="1" t="s">
        <v>31</v>
      </c>
      <c r="C18" s="1">
        <f t="shared" si="7"/>
        <v>30</v>
      </c>
      <c r="D18" s="1">
        <f>PI()/6</f>
        <v>0.52359877559829882</v>
      </c>
      <c r="E18" s="1">
        <f>D18-RADIANS(R2)</f>
        <v>0.26179938779914941</v>
      </c>
      <c r="F18" s="1"/>
      <c r="G18" s="1">
        <f t="shared" si="8"/>
        <v>7.7645713530756222</v>
      </c>
      <c r="H18" s="35">
        <f t="shared" si="3"/>
        <v>14.999999999999998</v>
      </c>
      <c r="J18" s="57"/>
      <c r="K18" s="58">
        <f>K12</f>
        <v>23.859921305611259</v>
      </c>
      <c r="L18" s="58">
        <f>L12</f>
        <v>19.424644493484287</v>
      </c>
      <c r="M18" s="58"/>
      <c r="N18" s="60"/>
      <c r="P18" s="34"/>
      <c r="Q18" s="1"/>
      <c r="R18" s="1"/>
      <c r="S18" s="1"/>
      <c r="T18" s="1"/>
      <c r="U18" s="1"/>
      <c r="V18" s="1"/>
      <c r="W18" s="35"/>
    </row>
    <row r="19" spans="1:23" ht="13" thickBot="1">
      <c r="A19" s="36"/>
      <c r="B19" s="37" t="s">
        <v>32</v>
      </c>
      <c r="C19" s="37">
        <f t="shared" si="7"/>
        <v>30</v>
      </c>
      <c r="D19" s="37">
        <f>PI()/6</f>
        <v>0.52359877559829882</v>
      </c>
      <c r="E19" s="37">
        <f>D19+RADIANS(R2)</f>
        <v>0.78539816339744828</v>
      </c>
      <c r="F19" s="37"/>
      <c r="G19" s="37">
        <f t="shared" si="8"/>
        <v>21.213203435596423</v>
      </c>
      <c r="H19" s="38">
        <f t="shared" si="3"/>
        <v>45</v>
      </c>
      <c r="J19" s="61"/>
      <c r="K19" s="62"/>
      <c r="L19" s="62"/>
      <c r="M19" s="62"/>
      <c r="N19" s="63"/>
      <c r="P19" s="34"/>
      <c r="Q19" s="1"/>
      <c r="R19" s="1"/>
      <c r="S19" s="1"/>
      <c r="T19" s="1"/>
      <c r="U19" s="1"/>
      <c r="V19" s="1"/>
      <c r="W19" s="35"/>
    </row>
    <row r="20" spans="1:23" ht="13" thickBot="1">
      <c r="P20" s="34"/>
      <c r="Q20" s="1"/>
      <c r="R20" s="1"/>
      <c r="S20" s="1"/>
      <c r="T20" s="1"/>
      <c r="U20" s="1"/>
      <c r="V20" s="1"/>
      <c r="W20" s="35"/>
    </row>
    <row r="21" spans="1:23">
      <c r="J21" s="54" t="s">
        <v>93</v>
      </c>
      <c r="K21" s="55" t="s">
        <v>18</v>
      </c>
      <c r="L21" s="55" t="s">
        <v>19</v>
      </c>
      <c r="M21" s="55" t="s">
        <v>20</v>
      </c>
      <c r="N21" s="56" t="s">
        <v>107</v>
      </c>
      <c r="P21" s="34"/>
      <c r="Q21" s="1"/>
      <c r="R21" s="1"/>
      <c r="S21" s="1"/>
      <c r="T21" s="1"/>
      <c r="U21" s="1"/>
      <c r="V21" s="1"/>
      <c r="W21" s="35"/>
    </row>
    <row r="22" spans="1:23">
      <c r="J22" s="57">
        <v>1</v>
      </c>
      <c r="K22" s="58">
        <f t="shared" ref="K22:M27" si="9">K3-K12</f>
        <v>10.612078634742751</v>
      </c>
      <c r="L22" s="58">
        <f t="shared" si="9"/>
        <v>9.500797942409978</v>
      </c>
      <c r="M22" s="59">
        <f>M3-M12</f>
        <v>-141.90634349265133</v>
      </c>
      <c r="N22" s="60"/>
      <c r="P22" s="34"/>
      <c r="Q22" s="1"/>
      <c r="R22" s="1"/>
      <c r="S22" s="1"/>
      <c r="T22" s="1"/>
      <c r="U22" s="1"/>
      <c r="V22" s="1"/>
      <c r="W22" s="35"/>
    </row>
    <row r="23" spans="1:23" ht="13" thickBot="1">
      <c r="J23" s="57">
        <v>2</v>
      </c>
      <c r="K23" s="58">
        <f t="shared" si="9"/>
        <v>10.440934254603178</v>
      </c>
      <c r="L23" s="58">
        <f t="shared" si="9"/>
        <v>8.5447462535790848</v>
      </c>
      <c r="M23" s="59">
        <f>M4-M13</f>
        <v>-137.52789716557174</v>
      </c>
      <c r="N23" s="60"/>
      <c r="P23" s="34"/>
      <c r="Q23" s="1"/>
      <c r="R23" s="1"/>
      <c r="S23" s="1"/>
      <c r="T23" s="1"/>
      <c r="U23" s="1"/>
      <c r="V23" s="1"/>
      <c r="W23" s="35"/>
    </row>
    <row r="24" spans="1:23" ht="13" thickBot="1">
      <c r="A24" s="31" t="s">
        <v>41</v>
      </c>
      <c r="B24" s="32"/>
      <c r="C24" s="32"/>
      <c r="D24" s="32"/>
      <c r="E24" s="32"/>
      <c r="F24" s="32"/>
      <c r="G24" s="32"/>
      <c r="H24" s="33"/>
      <c r="J24" s="57">
        <v>3</v>
      </c>
      <c r="K24" s="58">
        <f t="shared" si="9"/>
        <v>-3.4273996850436346</v>
      </c>
      <c r="L24" s="58">
        <f t="shared" si="9"/>
        <v>-16.057008002509004</v>
      </c>
      <c r="M24" s="59">
        <f>M5-M14</f>
        <v>-125.56575934177691</v>
      </c>
      <c r="N24" s="60"/>
      <c r="P24" s="36"/>
      <c r="Q24" s="37"/>
      <c r="R24" s="37"/>
      <c r="S24" s="37"/>
      <c r="T24" s="37"/>
      <c r="U24" s="37"/>
      <c r="V24" s="37"/>
      <c r="W24" s="38"/>
    </row>
    <row r="25" spans="1:23">
      <c r="A25" s="34"/>
      <c r="B25" s="1"/>
      <c r="C25" s="1"/>
      <c r="E25" s="1"/>
      <c r="F25" s="1"/>
      <c r="G25" s="1"/>
      <c r="H25" s="35"/>
      <c r="J25" s="57">
        <v>4</v>
      </c>
      <c r="K25" s="58">
        <f t="shared" si="9"/>
        <v>-3.5289581325673653</v>
      </c>
      <c r="L25" s="58">
        <f t="shared" si="9"/>
        <v>-15.785987092378679</v>
      </c>
      <c r="M25" s="58">
        <f t="shared" si="9"/>
        <v>-125.56575934177691</v>
      </c>
      <c r="N25" s="60"/>
      <c r="R25">
        <v>1</v>
      </c>
      <c r="S25">
        <v>2</v>
      </c>
      <c r="T25">
        <v>3</v>
      </c>
      <c r="U25">
        <v>4</v>
      </c>
      <c r="V25">
        <v>5</v>
      </c>
      <c r="W25">
        <v>6</v>
      </c>
    </row>
    <row r="26" spans="1:23">
      <c r="A26" s="34"/>
      <c r="B26" s="1"/>
      <c r="C26" s="1"/>
      <c r="E26" s="1"/>
      <c r="F26" s="1"/>
      <c r="G26" s="1"/>
      <c r="H26" s="35"/>
      <c r="J26" s="57">
        <v>5</v>
      </c>
      <c r="K26" s="58">
        <f t="shared" si="9"/>
        <v>-16.184678949699119</v>
      </c>
      <c r="L26" s="58">
        <f t="shared" si="9"/>
        <v>9.5562100600990263</v>
      </c>
      <c r="M26" s="58">
        <f t="shared" si="9"/>
        <v>-137.52789716557174</v>
      </c>
      <c r="N26" s="60"/>
    </row>
    <row r="27" spans="1:23">
      <c r="A27" s="34"/>
      <c r="B27" s="1"/>
      <c r="C27" s="1"/>
      <c r="D27" s="1"/>
      <c r="E27" s="1"/>
      <c r="F27" s="1"/>
      <c r="G27" s="1"/>
      <c r="H27" s="35"/>
      <c r="J27" s="57">
        <v>6</v>
      </c>
      <c r="K27" s="58">
        <f t="shared" si="9"/>
        <v>-15.91197612203581</v>
      </c>
      <c r="L27" s="58">
        <f t="shared" si="9"/>
        <v>10.241240838799595</v>
      </c>
      <c r="M27" s="58">
        <f t="shared" si="9"/>
        <v>-141.90634349265133</v>
      </c>
      <c r="N27" s="60"/>
    </row>
    <row r="28" spans="1:23" ht="13" thickBot="1">
      <c r="A28" s="34"/>
      <c r="B28" s="1"/>
      <c r="C28" s="1"/>
      <c r="D28" s="1"/>
      <c r="E28" s="1"/>
      <c r="F28" s="1"/>
      <c r="G28" s="1"/>
      <c r="H28" s="35"/>
      <c r="J28" s="61"/>
      <c r="K28" s="62"/>
      <c r="L28" s="62"/>
      <c r="M28" s="62"/>
      <c r="N28" s="63"/>
    </row>
    <row r="29" spans="1:23" ht="13" thickBot="1">
      <c r="A29" s="34"/>
      <c r="B29" s="1"/>
      <c r="C29" s="1" t="s">
        <v>3</v>
      </c>
      <c r="D29" s="1" t="s">
        <v>113</v>
      </c>
      <c r="E29" s="1" t="s">
        <v>17</v>
      </c>
      <c r="F29" s="1"/>
      <c r="G29" s="1"/>
      <c r="H29" s="35"/>
      <c r="L29" s="53">
        <f>SQRT(K27^2+L27^2+M27^2)</f>
        <v>143.16244033083845</v>
      </c>
    </row>
    <row r="30" spans="1:23" ht="13" thickBot="1">
      <c r="A30" s="34" t="s">
        <v>18</v>
      </c>
      <c r="B30" s="1" t="s">
        <v>11</v>
      </c>
      <c r="C30" s="1">
        <f>$R$6</f>
        <v>45</v>
      </c>
      <c r="D30" s="1">
        <f>PI()/6</f>
        <v>0.52359877559829882</v>
      </c>
      <c r="E30" s="1">
        <f>D30+RADIANS(R4)</f>
        <v>0.69813170079773179</v>
      </c>
      <c r="F30" s="1"/>
      <c r="G30" s="1">
        <f t="shared" ref="G30:G35" si="10">C30*COS(E30)</f>
        <v>34.47199994035401</v>
      </c>
      <c r="H30" s="35">
        <f>DEGREES(E30)</f>
        <v>40</v>
      </c>
      <c r="J30" s="54" t="s">
        <v>10</v>
      </c>
      <c r="K30" s="55" t="s">
        <v>106</v>
      </c>
      <c r="L30" s="55"/>
      <c r="M30" s="55"/>
      <c r="N30" s="56"/>
    </row>
    <row r="31" spans="1:23">
      <c r="A31" s="34"/>
      <c r="B31" s="1" t="s">
        <v>12</v>
      </c>
      <c r="C31" s="1">
        <f>$R$6</f>
        <v>45</v>
      </c>
      <c r="D31" s="1">
        <f>PI()/6</f>
        <v>0.52359877559829882</v>
      </c>
      <c r="E31" s="1">
        <f>D31-RADIANS(R4)</f>
        <v>0.34906585039886584</v>
      </c>
      <c r="F31" s="1"/>
      <c r="G31" s="1">
        <f t="shared" si="10"/>
        <v>42.286167935365881</v>
      </c>
      <c r="H31" s="35">
        <f t="shared" ref="H31:H41" si="11">DEGREES(E31)</f>
        <v>19.999999999999996</v>
      </c>
      <c r="J31" s="57">
        <v>1</v>
      </c>
      <c r="K31" s="58">
        <f t="shared" ref="K31:K36" si="12">SQRT(K22^2+L22^2+M22^2)</f>
        <v>142.61939453646133</v>
      </c>
      <c r="L31" s="58"/>
      <c r="M31" s="58"/>
      <c r="N31" s="60" t="s">
        <v>110</v>
      </c>
      <c r="R31" s="31" t="s">
        <v>18</v>
      </c>
      <c r="S31" s="32" t="s">
        <v>19</v>
      </c>
      <c r="T31" s="32" t="s">
        <v>20</v>
      </c>
      <c r="U31" s="32" t="s">
        <v>42</v>
      </c>
      <c r="V31" s="32" t="s">
        <v>43</v>
      </c>
      <c r="W31" s="33">
        <v>30</v>
      </c>
    </row>
    <row r="32" spans="1:23">
      <c r="A32" s="34"/>
      <c r="B32" s="1" t="s">
        <v>13</v>
      </c>
      <c r="C32" s="1">
        <f>$R$6</f>
        <v>45</v>
      </c>
      <c r="D32" s="1">
        <f>-PI()/2</f>
        <v>-1.5707963267948966</v>
      </c>
      <c r="E32" s="1">
        <f>D32+RADIANS(R4)</f>
        <v>-1.3962634015954636</v>
      </c>
      <c r="F32" s="1"/>
      <c r="G32" s="1">
        <f t="shared" si="10"/>
        <v>7.8141679950118688</v>
      </c>
      <c r="H32" s="35">
        <f t="shared" si="11"/>
        <v>-80</v>
      </c>
      <c r="J32" s="57">
        <v>2</v>
      </c>
      <c r="K32" s="58">
        <f t="shared" si="12"/>
        <v>138.18809028071513</v>
      </c>
      <c r="L32" s="58"/>
      <c r="M32" s="58"/>
      <c r="N32" s="60"/>
      <c r="R32" s="34">
        <v>33</v>
      </c>
      <c r="S32" s="1">
        <v>29</v>
      </c>
      <c r="T32" s="1">
        <v>20</v>
      </c>
      <c r="U32" s="1">
        <v>49</v>
      </c>
      <c r="V32" s="1">
        <v>30</v>
      </c>
      <c r="W32" s="35">
        <v>31</v>
      </c>
    </row>
    <row r="33" spans="1:23">
      <c r="A33" s="34"/>
      <c r="B33" s="1" t="s">
        <v>14</v>
      </c>
      <c r="C33" s="1">
        <f>$R$6*-1</f>
        <v>-45</v>
      </c>
      <c r="D33" s="1">
        <f>-PI()/2</f>
        <v>-1.5707963267948966</v>
      </c>
      <c r="E33" s="1">
        <f>D33+RADIANS(R4)</f>
        <v>-1.3962634015954636</v>
      </c>
      <c r="F33" s="1"/>
      <c r="G33" s="1">
        <f t="shared" si="10"/>
        <v>-7.8141679950118688</v>
      </c>
      <c r="H33" s="35">
        <f t="shared" si="11"/>
        <v>-80</v>
      </c>
      <c r="J33" s="57">
        <v>3</v>
      </c>
      <c r="K33" s="58">
        <f t="shared" si="12"/>
        <v>126.63464965668247</v>
      </c>
      <c r="L33" s="58"/>
      <c r="M33" s="58"/>
      <c r="N33" s="60"/>
      <c r="R33" s="34"/>
      <c r="S33" s="1"/>
      <c r="T33" s="1"/>
      <c r="U33" s="1"/>
      <c r="V33" s="1"/>
      <c r="W33" s="35"/>
    </row>
    <row r="34" spans="1:23">
      <c r="A34" s="34"/>
      <c r="B34" s="1" t="s">
        <v>15</v>
      </c>
      <c r="C34" s="1">
        <f>$R$6*-1</f>
        <v>-45</v>
      </c>
      <c r="D34" s="1">
        <f>PI()/6</f>
        <v>0.52359877559829882</v>
      </c>
      <c r="E34" s="1">
        <f>D34-RADIANS(R4)</f>
        <v>0.34906585039886584</v>
      </c>
      <c r="F34" s="1"/>
      <c r="G34" s="1">
        <f t="shared" si="10"/>
        <v>-42.286167935365881</v>
      </c>
      <c r="H34" s="35">
        <f t="shared" si="11"/>
        <v>19.999999999999996</v>
      </c>
      <c r="J34" s="57">
        <v>4</v>
      </c>
      <c r="K34" s="58">
        <f t="shared" si="12"/>
        <v>126.60336035453086</v>
      </c>
      <c r="L34" s="58"/>
      <c r="M34" s="58"/>
      <c r="N34" s="60"/>
      <c r="R34" s="34"/>
      <c r="S34" s="1"/>
      <c r="T34" s="1"/>
      <c r="U34" s="1"/>
      <c r="V34" s="1"/>
      <c r="W34" s="35"/>
    </row>
    <row r="35" spans="1:23">
      <c r="A35" s="34"/>
      <c r="B35" s="1" t="s">
        <v>16</v>
      </c>
      <c r="C35" s="1">
        <f>$R$6*-1</f>
        <v>-45</v>
      </c>
      <c r="D35" s="1">
        <f>PI()/6</f>
        <v>0.52359877559829882</v>
      </c>
      <c r="E35" s="1">
        <f>D35+RADIANS(R4)</f>
        <v>0.69813170079773179</v>
      </c>
      <c r="F35" s="1"/>
      <c r="G35" s="1">
        <f t="shared" si="10"/>
        <v>-34.47199994035401</v>
      </c>
      <c r="H35" s="35">
        <f t="shared" si="11"/>
        <v>40</v>
      </c>
      <c r="J35" s="57">
        <v>5</v>
      </c>
      <c r="K35" s="58">
        <f t="shared" si="12"/>
        <v>138.80629482196275</v>
      </c>
      <c r="L35" s="58"/>
      <c r="M35" s="58"/>
      <c r="N35" s="60"/>
      <c r="R35" s="34"/>
      <c r="S35" s="1"/>
      <c r="T35" s="1"/>
      <c r="U35" s="1"/>
      <c r="V35" s="1"/>
      <c r="W35" s="35"/>
    </row>
    <row r="36" spans="1:23" ht="13" thickBot="1">
      <c r="A36" s="34" t="s">
        <v>19</v>
      </c>
      <c r="B36" s="1" t="s">
        <v>33</v>
      </c>
      <c r="C36" s="1">
        <f t="shared" ref="C36:C41" si="13">$R$6</f>
        <v>45</v>
      </c>
      <c r="D36" s="1">
        <f>PI()/6</f>
        <v>0.52359877559829882</v>
      </c>
      <c r="E36" s="1">
        <f>D36+RADIANS(R4)</f>
        <v>0.69813170079773179</v>
      </c>
      <c r="F36" s="1"/>
      <c r="G36" s="1">
        <f t="shared" ref="G36:G41" si="14">C36*SIN(E36)</f>
        <v>28.925442435894265</v>
      </c>
      <c r="H36" s="35">
        <f t="shared" si="11"/>
        <v>40</v>
      </c>
      <c r="J36" s="61">
        <v>6</v>
      </c>
      <c r="K36" s="62">
        <f t="shared" si="12"/>
        <v>143.16244033083845</v>
      </c>
      <c r="L36" s="62"/>
      <c r="M36" s="62"/>
      <c r="N36" s="63"/>
      <c r="R36" s="34"/>
      <c r="S36" s="1"/>
      <c r="T36" s="1"/>
      <c r="U36" s="1"/>
      <c r="V36" s="1"/>
      <c r="W36" s="35"/>
    </row>
    <row r="37" spans="1:23" ht="13" thickBot="1">
      <c r="A37" s="34"/>
      <c r="B37" s="1" t="s">
        <v>34</v>
      </c>
      <c r="C37" s="1">
        <f t="shared" si="13"/>
        <v>45</v>
      </c>
      <c r="D37" s="1">
        <f>PI()/6</f>
        <v>0.52359877559829882</v>
      </c>
      <c r="E37" s="1">
        <f>D37-RADIANS(R4)</f>
        <v>0.34906585039886584</v>
      </c>
      <c r="F37" s="1"/>
      <c r="G37" s="1">
        <f t="shared" si="14"/>
        <v>15.390906449655089</v>
      </c>
      <c r="H37" s="35">
        <f t="shared" si="11"/>
        <v>19.999999999999996</v>
      </c>
      <c r="R37" s="34"/>
      <c r="S37" s="1"/>
      <c r="T37" s="1"/>
      <c r="U37" s="1"/>
      <c r="V37" s="1"/>
      <c r="W37" s="35"/>
    </row>
    <row r="38" spans="1:23">
      <c r="A38" s="34"/>
      <c r="B38" s="1" t="s">
        <v>35</v>
      </c>
      <c r="C38" s="1">
        <f t="shared" si="13"/>
        <v>45</v>
      </c>
      <c r="D38" s="1">
        <f>-PI()/2</f>
        <v>-1.5707963267948966</v>
      </c>
      <c r="E38" s="1">
        <f>D38+RADIANS(R4)</f>
        <v>-1.3962634015954636</v>
      </c>
      <c r="F38" s="1"/>
      <c r="G38" s="1">
        <f t="shared" si="14"/>
        <v>-44.31634888554936</v>
      </c>
      <c r="H38" s="35">
        <f t="shared" si="11"/>
        <v>-80</v>
      </c>
      <c r="J38" s="54" t="s">
        <v>90</v>
      </c>
      <c r="K38" s="55" t="s">
        <v>18</v>
      </c>
      <c r="L38" s="55" t="s">
        <v>19</v>
      </c>
      <c r="M38" s="55" t="s">
        <v>20</v>
      </c>
      <c r="N38" s="56"/>
      <c r="R38" s="34"/>
      <c r="S38" s="1"/>
      <c r="T38" s="1"/>
      <c r="U38" s="1"/>
      <c r="V38" s="1"/>
      <c r="W38" s="35"/>
    </row>
    <row r="39" spans="1:23">
      <c r="A39" s="34"/>
      <c r="B39" s="1" t="s">
        <v>36</v>
      </c>
      <c r="C39" s="1">
        <f t="shared" si="13"/>
        <v>45</v>
      </c>
      <c r="D39" s="1">
        <f>-PI()/2</f>
        <v>-1.5707963267948966</v>
      </c>
      <c r="E39" s="1">
        <f>D39+RADIANS(R4)</f>
        <v>-1.3962634015954636</v>
      </c>
      <c r="F39" s="1"/>
      <c r="G39" s="1">
        <f t="shared" si="14"/>
        <v>-44.31634888554936</v>
      </c>
      <c r="H39" s="35">
        <f t="shared" si="11"/>
        <v>-80</v>
      </c>
      <c r="J39" s="57">
        <v>1</v>
      </c>
      <c r="K39" s="59">
        <f>$R$7*COS(-$N$50)*COS($R$3*PI()/180)+G30</f>
        <v>4.6829963602616118</v>
      </c>
      <c r="L39" s="59">
        <f>$R$7*COS(-$N$50)*SIN($R$3*PI()/180)+G36</f>
        <v>28.925442435894269</v>
      </c>
      <c r="M39" s="59">
        <f>-$R$7*SIN(-$N$50)</f>
        <v>3.5517975315665429</v>
      </c>
      <c r="N39" s="60"/>
      <c r="R39" s="34"/>
      <c r="S39" s="1"/>
      <c r="T39" s="1"/>
      <c r="U39" s="1"/>
      <c r="V39" s="1"/>
      <c r="W39" s="35"/>
    </row>
    <row r="40" spans="1:23">
      <c r="A40" s="34"/>
      <c r="B40" s="1" t="s">
        <v>37</v>
      </c>
      <c r="C40" s="1">
        <f t="shared" si="13"/>
        <v>45</v>
      </c>
      <c r="D40" s="1">
        <f>PI()/6</f>
        <v>0.52359877559829882</v>
      </c>
      <c r="E40" s="1">
        <f>D40-RADIANS(R4)</f>
        <v>0.34906585039886584</v>
      </c>
      <c r="F40" s="1"/>
      <c r="G40" s="1">
        <f t="shared" si="14"/>
        <v>15.390906449655089</v>
      </c>
      <c r="H40" s="35">
        <f t="shared" si="11"/>
        <v>19.999999999999996</v>
      </c>
      <c r="J40" s="57">
        <v>2</v>
      </c>
      <c r="K40" s="59">
        <f>$R$7*COS(-$N$51)*COS($S$3*PI()/180)+G31</f>
        <v>27.300493989936577</v>
      </c>
      <c r="L40" s="59">
        <f>$R$7*COS(-$N$51)*SIN($S$3*PI()/180)+G37</f>
        <v>-10.565042209489638</v>
      </c>
      <c r="M40" s="59">
        <f>-$R$7*SIN(-$N$51)</f>
        <v>-1.3108415637002599</v>
      </c>
      <c r="N40" s="60"/>
      <c r="R40" s="34"/>
      <c r="S40" s="1"/>
      <c r="T40" s="1"/>
      <c r="U40" s="1"/>
      <c r="V40" s="1"/>
      <c r="W40" s="35"/>
    </row>
    <row r="41" spans="1:23">
      <c r="A41" s="34"/>
      <c r="B41" s="1" t="s">
        <v>38</v>
      </c>
      <c r="C41" s="1">
        <f t="shared" si="13"/>
        <v>45</v>
      </c>
      <c r="D41" s="1">
        <f>PI()/6</f>
        <v>0.52359877559829882</v>
      </c>
      <c r="E41" s="1">
        <f>D41+RADIANS(R4)</f>
        <v>0.69813170079773179</v>
      </c>
      <c r="F41" s="1"/>
      <c r="G41" s="1">
        <f t="shared" si="14"/>
        <v>28.925442435894265</v>
      </c>
      <c r="H41" s="35">
        <f t="shared" si="11"/>
        <v>40</v>
      </c>
      <c r="J41" s="57">
        <v>3</v>
      </c>
      <c r="K41" s="59">
        <f>$R$7*COS(-$N$52)*COS($T$3*PI()/180)+G32</f>
        <v>21.10356379591466</v>
      </c>
      <c r="L41" s="59">
        <f>$R$7*COS(-$N$52)*SIN($T$3*PI()/180)+G38</f>
        <v>-21.298440156493239</v>
      </c>
      <c r="M41" s="59">
        <f>-$R$7*SIN(-$N$52)</f>
        <v>-13.912865879745604</v>
      </c>
      <c r="N41" s="60"/>
      <c r="R41" s="34"/>
      <c r="S41" s="1"/>
      <c r="T41" s="1"/>
      <c r="U41" s="1"/>
      <c r="V41" s="1"/>
      <c r="W41" s="35"/>
    </row>
    <row r="42" spans="1:23" ht="13" thickBot="1">
      <c r="A42" s="36"/>
      <c r="B42" s="37"/>
      <c r="C42" s="37"/>
      <c r="D42" s="37"/>
      <c r="E42" s="37"/>
      <c r="F42" s="37"/>
      <c r="G42" s="37"/>
      <c r="H42" s="38"/>
      <c r="J42" s="57">
        <v>4</v>
      </c>
      <c r="K42" s="59">
        <f>$R$7*COS(-$N$53)*COS($U$3*PI()/180)+G33</f>
        <v>-21.285832204124222</v>
      </c>
      <c r="L42" s="59">
        <f>$R$7*COS(-$N$53)*SIN($U$3*PI()/180)+G39</f>
        <v>-20.982742012859553</v>
      </c>
      <c r="M42" s="59">
        <f>-$R$7*SIN(-$N$53)</f>
        <v>-13.193068397749034</v>
      </c>
      <c r="N42" s="60"/>
      <c r="R42" s="34"/>
      <c r="S42" s="1"/>
      <c r="T42" s="1"/>
      <c r="U42" s="1"/>
      <c r="V42" s="1"/>
      <c r="W42" s="35"/>
    </row>
    <row r="43" spans="1:23">
      <c r="J43" s="57">
        <v>5</v>
      </c>
      <c r="K43" s="59">
        <f>$R$7*COS(-$N$54)*COS($V$3*PI()/180)+G34</f>
        <v>-27.305028953705019</v>
      </c>
      <c r="L43" s="59">
        <f>$R$7*COS(-$N$54)*SIN($V$3*PI()/180)+G40</f>
        <v>-10.557187421832184</v>
      </c>
      <c r="M43" s="59">
        <f>-$R$7*SIN(-$N$54)</f>
        <v>-1.5039611858841182</v>
      </c>
      <c r="N43" s="60"/>
      <c r="R43" s="34"/>
      <c r="S43" s="1"/>
      <c r="T43" s="1"/>
      <c r="U43" s="1"/>
      <c r="V43" s="1"/>
      <c r="W43" s="35"/>
    </row>
    <row r="44" spans="1:23">
      <c r="J44" s="57">
        <v>6</v>
      </c>
      <c r="K44" s="59">
        <f>$R$7*COS(-$N$55)*COS($W$3*PI()/180)+G35</f>
        <v>-4.6202759907116437</v>
      </c>
      <c r="L44" s="59">
        <f>$R$7*COS(-$N$55)*SIN($W$3*PI()/180)+G41</f>
        <v>28.925442435894265</v>
      </c>
      <c r="M44" s="59">
        <f>-$R$7*SIN(-$N$55)</f>
        <v>2.9790228656974542</v>
      </c>
      <c r="N44" s="60"/>
      <c r="R44" s="34"/>
      <c r="S44" s="1"/>
      <c r="T44" s="1"/>
      <c r="U44" s="1"/>
      <c r="V44" s="1"/>
      <c r="W44" s="35"/>
    </row>
    <row r="45" spans="1:23" ht="13" thickBot="1">
      <c r="J45" s="61"/>
      <c r="K45" s="62"/>
      <c r="L45" s="62"/>
      <c r="M45" s="62"/>
      <c r="N45" s="63"/>
      <c r="R45" s="34"/>
      <c r="S45" s="1"/>
      <c r="T45" s="1"/>
      <c r="U45" s="1"/>
      <c r="V45" s="1"/>
      <c r="W45" s="35"/>
    </row>
    <row r="46" spans="1:23">
      <c r="R46" s="34"/>
      <c r="S46" s="1"/>
      <c r="T46" s="1"/>
      <c r="U46" s="1"/>
      <c r="V46" s="1"/>
      <c r="W46" s="35"/>
    </row>
    <row r="47" spans="1:23">
      <c r="R47" s="34"/>
      <c r="S47" s="1"/>
      <c r="T47" s="1"/>
      <c r="U47" s="1"/>
      <c r="V47" s="1"/>
      <c r="W47" s="35"/>
    </row>
    <row r="48" spans="1:23" ht="13" thickBot="1">
      <c r="R48" s="34"/>
      <c r="S48" s="1"/>
      <c r="T48" s="1"/>
      <c r="U48" s="1"/>
      <c r="V48" s="1"/>
      <c r="W48" s="35"/>
    </row>
    <row r="49" spans="10:23">
      <c r="J49" s="54"/>
      <c r="K49" s="55" t="s">
        <v>72</v>
      </c>
      <c r="L49" s="55" t="s">
        <v>73</v>
      </c>
      <c r="M49" s="55" t="s">
        <v>74</v>
      </c>
      <c r="N49" s="55" t="s">
        <v>75</v>
      </c>
      <c r="O49" s="33" t="s">
        <v>89</v>
      </c>
      <c r="R49" s="34"/>
      <c r="S49" s="1"/>
      <c r="T49" s="1"/>
      <c r="U49" s="1"/>
      <c r="V49" s="1"/>
      <c r="W49" s="35"/>
    </row>
    <row r="50" spans="10:23">
      <c r="J50" s="57">
        <v>1</v>
      </c>
      <c r="K50" s="64">
        <f t="shared" ref="K50:K55" si="15">K31^2-($R$8^2-$R$7^2)</f>
        <v>1640.2916979468137</v>
      </c>
      <c r="L50" s="64">
        <f t="shared" ref="L50:L55" si="16">2*$R$7*(M12-M3)</f>
        <v>8514.3806095590808</v>
      </c>
      <c r="M50" s="64">
        <f>2*$R$7*(COS(R3*PI()/180)*(K12-K3)+SIN(R3*PI()/180)*(L12-L3))</f>
        <v>636.72471808456498</v>
      </c>
      <c r="N50" s="64">
        <f t="shared" ref="N50:N55" si="17">ASIN(K50/(SQRT(L50^2+M50^2)))-ATAN(M50/L50)</f>
        <v>0.11867159596374795</v>
      </c>
      <c r="O50" s="41">
        <f t="shared" ref="O50:O55" si="18">DEGREES(N50)</f>
        <v>6.7993815968044924</v>
      </c>
      <c r="R50" s="34"/>
      <c r="S50" s="1"/>
      <c r="T50" s="1"/>
      <c r="U50" s="1"/>
      <c r="V50" s="1"/>
      <c r="W50" s="35"/>
    </row>
    <row r="51" spans="10:23" ht="13" thickBot="1">
      <c r="J51" s="57">
        <v>2</v>
      </c>
      <c r="K51" s="64">
        <f t="shared" si="15"/>
        <v>395.94829543107699</v>
      </c>
      <c r="L51" s="64">
        <f t="shared" si="16"/>
        <v>8251.6738299343051</v>
      </c>
      <c r="M51" s="64">
        <f>2*$R$7*(COS(S3*PI()/180)*(K13-K4)+SIN(S3*PI()/180)*(L13-L4))</f>
        <v>757.22606710757896</v>
      </c>
      <c r="N51" s="64">
        <f t="shared" si="17"/>
        <v>-4.3708634615853614E-2</v>
      </c>
      <c r="O51" s="41">
        <f t="shared" si="18"/>
        <v>-2.5043202917678262</v>
      </c>
      <c r="R51" s="36"/>
      <c r="S51" s="37"/>
      <c r="T51" s="37"/>
      <c r="U51" s="37"/>
      <c r="V51" s="37"/>
      <c r="W51" s="38"/>
    </row>
    <row r="52" spans="10:23">
      <c r="J52" s="57">
        <v>3</v>
      </c>
      <c r="K52" s="64">
        <f t="shared" si="15"/>
        <v>-2663.665506329291</v>
      </c>
      <c r="L52" s="64">
        <f t="shared" si="16"/>
        <v>7533.945560506615</v>
      </c>
      <c r="M52" s="64">
        <f>2*$R$7*(COS(T3*PI()/180)*(K14-K5)+SIN(T3*PI()/180)*(L14-L5))</f>
        <v>937.16860088787837</v>
      </c>
      <c r="N52" s="64">
        <f t="shared" si="17"/>
        <v>-0.48223696599472954</v>
      </c>
      <c r="O52" s="41">
        <f t="shared" si="18"/>
        <v>-27.630142876691803</v>
      </c>
    </row>
    <row r="53" spans="10:23">
      <c r="J53" s="57">
        <v>4</v>
      </c>
      <c r="K53" s="64">
        <f t="shared" si="15"/>
        <v>-2671.5891469408034</v>
      </c>
      <c r="L53" s="64">
        <f t="shared" si="16"/>
        <v>7533.945560506615</v>
      </c>
      <c r="M53" s="64">
        <f>2*$R$7*(COS(U3*PI()/180)*(K15-K6)+SIN(U3*PI()/180)*(L15-L6))</f>
        <v>714.39520677177006</v>
      </c>
      <c r="N53" s="64">
        <f t="shared" si="17"/>
        <v>-0.4553413911895679</v>
      </c>
      <c r="O53" s="41">
        <f t="shared" si="18"/>
        <v>-26.08913995277765</v>
      </c>
    </row>
    <row r="54" spans="10:23">
      <c r="J54" s="57">
        <v>5</v>
      </c>
      <c r="K54" s="64">
        <f t="shared" si="15"/>
        <v>567.18748220164343</v>
      </c>
      <c r="L54" s="64">
        <f t="shared" si="16"/>
        <v>8251.6738299343051</v>
      </c>
      <c r="M54" s="64">
        <f>2*$R$7*(COS(V3*PI()/180)*(K16-K7)+SIN(V3*PI()/180)*(L16-L7))</f>
        <v>982.09560904774412</v>
      </c>
      <c r="N54" s="64">
        <f t="shared" si="17"/>
        <v>-5.0153062132654802E-2</v>
      </c>
      <c r="O54" s="41">
        <f t="shared" si="18"/>
        <v>-2.873558789858508</v>
      </c>
    </row>
    <row r="55" spans="10:23" ht="13" thickBot="1">
      <c r="J55" s="61">
        <v>6</v>
      </c>
      <c r="K55" s="65">
        <f t="shared" si="15"/>
        <v>1795.4843214808789</v>
      </c>
      <c r="L55" s="65">
        <f t="shared" si="16"/>
        <v>8514.3806095590808</v>
      </c>
      <c r="M55" s="65">
        <f>2*$R$7*(COS(W3*PI()/180)*(K17-K8)+SIN(W3*PI()/180)*(L17-L8))</f>
        <v>954.7185673221486</v>
      </c>
      <c r="N55" s="65">
        <f t="shared" si="17"/>
        <v>9.9464685478989984E-2</v>
      </c>
      <c r="O55" s="46">
        <f t="shared" si="18"/>
        <v>5.6989066885422908</v>
      </c>
    </row>
    <row r="58" spans="10:23">
      <c r="K58" s="66"/>
      <c r="L58" s="66"/>
      <c r="M58" s="66"/>
      <c r="N58" s="66"/>
      <c r="O58" s="2"/>
    </row>
  </sheetData>
  <phoneticPr fontId="8"/>
  <pageMargins left="0.7" right="0.7" top="0.75" bottom="0.75" header="0.3" footer="0.3"/>
  <pageSetup paperSize="9" scale="54" orientation="portrait" r:id="rId1"/>
  <colBreaks count="2" manualBreakCount="2">
    <brk id="15" max="54" man="1"/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1028" r:id="rId4" name="PE_X">
          <controlPr defaultSize="0" autoLine="0" linkedCell="R32" r:id="rId5">
            <anchor moveWithCells="1">
              <from>
                <xdr:col>17</xdr:col>
                <xdr:colOff>133350</xdr:colOff>
                <xdr:row>32</xdr:row>
                <xdr:rowOff>38100</xdr:rowOff>
              </from>
              <to>
                <xdr:col>17</xdr:col>
                <xdr:colOff>438150</xdr:colOff>
                <xdr:row>50</xdr:row>
                <xdr:rowOff>57150</xdr:rowOff>
              </to>
            </anchor>
          </controlPr>
        </control>
      </mc:Choice>
      <mc:Fallback>
        <control shapeId="1028" r:id="rId4" name="PE_X"/>
      </mc:Fallback>
    </mc:AlternateContent>
    <mc:AlternateContent xmlns:mc="http://schemas.openxmlformats.org/markup-compatibility/2006">
      <mc:Choice Requires="x14">
        <control shapeId="1030" r:id="rId6" name="ScrollBar2">
          <controlPr defaultSize="0" autoLine="0" linkedCell="S32" r:id="rId7">
            <anchor moveWithCells="1">
              <from>
                <xdr:col>18</xdr:col>
                <xdr:colOff>139700</xdr:colOff>
                <xdr:row>32</xdr:row>
                <xdr:rowOff>38100</xdr:rowOff>
              </from>
              <to>
                <xdr:col>18</xdr:col>
                <xdr:colOff>444500</xdr:colOff>
                <xdr:row>50</xdr:row>
                <xdr:rowOff>57150</xdr:rowOff>
              </to>
            </anchor>
          </controlPr>
        </control>
      </mc:Choice>
      <mc:Fallback>
        <control shapeId="1030" r:id="rId6" name="ScrollBar2"/>
      </mc:Fallback>
    </mc:AlternateContent>
    <mc:AlternateContent xmlns:mc="http://schemas.openxmlformats.org/markup-compatibility/2006">
      <mc:Choice Requires="x14">
        <control shapeId="1031" r:id="rId8" name="ScrollBar3">
          <controlPr defaultSize="0" autoLine="0" linkedCell="T32" r:id="rId9">
            <anchor moveWithCells="1">
              <from>
                <xdr:col>19</xdr:col>
                <xdr:colOff>120650</xdr:colOff>
                <xdr:row>32</xdr:row>
                <xdr:rowOff>38100</xdr:rowOff>
              </from>
              <to>
                <xdr:col>19</xdr:col>
                <xdr:colOff>425450</xdr:colOff>
                <xdr:row>50</xdr:row>
                <xdr:rowOff>57150</xdr:rowOff>
              </to>
            </anchor>
          </controlPr>
        </control>
      </mc:Choice>
      <mc:Fallback>
        <control shapeId="1031" r:id="rId8" name="ScrollBar3"/>
      </mc:Fallback>
    </mc:AlternateContent>
    <mc:AlternateContent xmlns:mc="http://schemas.openxmlformats.org/markup-compatibility/2006">
      <mc:Choice Requires="x14">
        <control shapeId="1032" r:id="rId10" name="ScrollBar4">
          <controlPr defaultSize="0" autoLine="0" linkedCell="U32" r:id="rId11">
            <anchor moveWithCells="1">
              <from>
                <xdr:col>20</xdr:col>
                <xdr:colOff>133350</xdr:colOff>
                <xdr:row>32</xdr:row>
                <xdr:rowOff>38100</xdr:rowOff>
              </from>
              <to>
                <xdr:col>20</xdr:col>
                <xdr:colOff>438150</xdr:colOff>
                <xdr:row>50</xdr:row>
                <xdr:rowOff>57150</xdr:rowOff>
              </to>
            </anchor>
          </controlPr>
        </control>
      </mc:Choice>
      <mc:Fallback>
        <control shapeId="1032" r:id="rId10" name="ScrollBar4"/>
      </mc:Fallback>
    </mc:AlternateContent>
    <mc:AlternateContent xmlns:mc="http://schemas.openxmlformats.org/markup-compatibility/2006">
      <mc:Choice Requires="x14">
        <control shapeId="1033" r:id="rId12" name="ScrollBar5">
          <controlPr defaultSize="0" autoLine="0" linkedCell="V32" r:id="rId13">
            <anchor moveWithCells="1">
              <from>
                <xdr:col>21</xdr:col>
                <xdr:colOff>114300</xdr:colOff>
                <xdr:row>32</xdr:row>
                <xdr:rowOff>38100</xdr:rowOff>
              </from>
              <to>
                <xdr:col>21</xdr:col>
                <xdr:colOff>419100</xdr:colOff>
                <xdr:row>50</xdr:row>
                <xdr:rowOff>57150</xdr:rowOff>
              </to>
            </anchor>
          </controlPr>
        </control>
      </mc:Choice>
      <mc:Fallback>
        <control shapeId="1033" r:id="rId12" name="ScrollBar5"/>
      </mc:Fallback>
    </mc:AlternateContent>
    <mc:AlternateContent xmlns:mc="http://schemas.openxmlformats.org/markup-compatibility/2006">
      <mc:Choice Requires="x14">
        <control shapeId="1034" r:id="rId14" name="ScrollBar6">
          <controlPr defaultSize="0" autoLine="0" linkedCell="W32" r:id="rId15">
            <anchor moveWithCells="1">
              <from>
                <xdr:col>22</xdr:col>
                <xdr:colOff>114300</xdr:colOff>
                <xdr:row>32</xdr:row>
                <xdr:rowOff>31750</xdr:rowOff>
              </from>
              <to>
                <xdr:col>22</xdr:col>
                <xdr:colOff>419100</xdr:colOff>
                <xdr:row>50</xdr:row>
                <xdr:rowOff>50800</xdr:rowOff>
              </to>
            </anchor>
          </controlPr>
        </control>
      </mc:Choice>
      <mc:Fallback>
        <control shapeId="1034" r:id="rId14" name="ScrollBar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20</vt:i4>
      </vt:variant>
    </vt:vector>
  </HeadingPairs>
  <TitlesOfParts>
    <vt:vector size="22" baseType="lpstr">
      <vt:lpstr>3D View</vt:lpstr>
      <vt:lpstr>DATA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DATA!Druckbereich</vt:lpstr>
      <vt:lpstr>Inputparams</vt:lpstr>
      <vt:lpstr>XCOS</vt:lpstr>
      <vt:lpstr>XROTATE</vt:lpstr>
      <vt:lpstr>XSIN</vt:lpstr>
      <vt:lpstr>YCOS</vt:lpstr>
      <vt:lpstr>YROTATE</vt:lpstr>
      <vt:lpstr>YSIN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JochenAlt</cp:lastModifiedBy>
  <cp:lastPrinted>2014-10-10T08:51:31Z</cp:lastPrinted>
  <dcterms:created xsi:type="dcterms:W3CDTF">2014-04-22T06:12:13Z</dcterms:created>
  <dcterms:modified xsi:type="dcterms:W3CDTF">2018-02-19T14:59:39Z</dcterms:modified>
</cp:coreProperties>
</file>